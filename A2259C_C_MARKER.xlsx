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153" documentId="11_6F1BA1203640E93B7C848278167CB456553A4DAA" xr6:coauthVersionLast="47" xr6:coauthVersionMax="47" xr10:uidLastSave="{30CC3201-8B8C-43B7-A8A2-8987C30FE06C}"/>
  <bookViews>
    <workbookView xWindow="-108" yWindow="-108" windowWidth="23256" windowHeight="12456" firstSheet="3" activeTab="6" xr2:uid="{00000000-000D-0000-FFFF-FFFF00000000}"/>
  </bookViews>
  <sheets>
    <sheet name="Meta" sheetId="1" r:id="rId1"/>
    <sheet name="Data1" sheetId="2" r:id="rId2"/>
    <sheet name="Data2" sheetId="3" r:id="rId3"/>
    <sheet name="Data3" sheetId="4" r:id="rId4"/>
    <sheet name="QA_Data1" sheetId="5" r:id="rId5"/>
    <sheet name="QA_Data2" sheetId="6" r:id="rId6"/>
    <sheet name="QA_Data3" sheetId="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7" l="1"/>
  <c r="D11" i="6"/>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D9" i="6" a="1"/>
  <c r="D9" i="6" s="1"/>
  <c r="D8" i="6" a="1"/>
  <c r="D8" i="6" s="1"/>
  <c r="D11" i="5"/>
  <c r="D10" i="5"/>
  <c r="D9" i="5" l="1"/>
  <c r="D8" i="5"/>
  <c r="D7"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<sst xmlns="http://schemas.openxmlformats.org/spreadsheetml/2006/main" count="390" uniqueCount="281">
  <si>
    <t>Outlet_ID</t>
  </si>
  <si>
    <t>Nitrate_mgL</t>
  </si>
  <si>
    <t>O950</t>
  </si>
  <si>
    <t>O180</t>
  </si>
  <si>
    <t>O078</t>
  </si>
  <si>
    <t>O880</t>
  </si>
  <si>
    <t>O410</t>
  </si>
  <si>
    <t>O085</t>
  </si>
  <si>
    <t>O842</t>
  </si>
  <si>
    <t>O043</t>
  </si>
  <si>
    <t>O291</t>
  </si>
  <si>
    <t>O138</t>
  </si>
  <si>
    <t>O479</t>
  </si>
  <si>
    <t>O571</t>
  </si>
  <si>
    <t>O001</t>
  </si>
  <si>
    <t>O207</t>
  </si>
  <si>
    <t>O816</t>
  </si>
  <si>
    <t>O598</t>
  </si>
  <si>
    <t>O578</t>
  </si>
  <si>
    <t>O050</t>
  </si>
  <si>
    <t>O039</t>
  </si>
  <si>
    <t>O953</t>
  </si>
  <si>
    <t>O746</t>
  </si>
  <si>
    <t>O264</t>
  </si>
  <si>
    <t>O176</t>
  </si>
  <si>
    <t>O134</t>
  </si>
  <si>
    <t>O169</t>
  </si>
  <si>
    <t>O103</t>
  </si>
  <si>
    <t>O159</t>
  </si>
  <si>
    <t>O423</t>
  </si>
  <si>
    <t>O758</t>
  </si>
  <si>
    <t>O519</t>
  </si>
  <si>
    <t>O266</t>
  </si>
  <si>
    <t>O800</t>
  </si>
  <si>
    <t>O418</t>
  </si>
  <si>
    <t>O605</t>
  </si>
  <si>
    <t>O863</t>
  </si>
  <si>
    <t>O515</t>
  </si>
  <si>
    <t>O726</t>
  </si>
  <si>
    <t>O127</t>
  </si>
  <si>
    <t>O467</t>
  </si>
  <si>
    <t>O161</t>
  </si>
  <si>
    <t>O638</t>
  </si>
  <si>
    <t>O914</t>
  </si>
  <si>
    <t>O121</t>
  </si>
  <si>
    <t>O646</t>
  </si>
  <si>
    <t>O472</t>
  </si>
  <si>
    <t>O157</t>
  </si>
  <si>
    <t>O881</t>
  </si>
  <si>
    <t>O403</t>
  </si>
  <si>
    <t>O969</t>
  </si>
  <si>
    <t>O046</t>
  </si>
  <si>
    <t>O281</t>
  </si>
  <si>
    <t>O452</t>
  </si>
  <si>
    <t>O225</t>
  </si>
  <si>
    <t>O032</t>
  </si>
  <si>
    <t>O385</t>
  </si>
  <si>
    <t>O361</t>
  </si>
  <si>
    <t>O211</t>
  </si>
  <si>
    <t>O852</t>
  </si>
  <si>
    <t>O460</t>
  </si>
  <si>
    <t>O324</t>
  </si>
  <si>
    <t>O126</t>
  </si>
  <si>
    <t>O376</t>
  </si>
  <si>
    <t>O592</t>
  </si>
  <si>
    <t>Facility_ID</t>
  </si>
  <si>
    <t>Before_kWhDay</t>
  </si>
  <si>
    <t>After_kWhDay</t>
  </si>
  <si>
    <t>F942</t>
  </si>
  <si>
    <t>F219</t>
  </si>
  <si>
    <t>F099</t>
  </si>
  <si>
    <t>F842</t>
  </si>
  <si>
    <t>F341</t>
  </si>
  <si>
    <t>F314</t>
  </si>
  <si>
    <t>F791</t>
  </si>
  <si>
    <t>F495</t>
  </si>
  <si>
    <t>F530</t>
  </si>
  <si>
    <t>F643</t>
  </si>
  <si>
    <t>F337</t>
  </si>
  <si>
    <t>F083</t>
  </si>
  <si>
    <t>F203</t>
  </si>
  <si>
    <t>F334</t>
  </si>
  <si>
    <t>F991</t>
  </si>
  <si>
    <t>F773</t>
  </si>
  <si>
    <t>F716</t>
  </si>
  <si>
    <t>F510</t>
  </si>
  <si>
    <t>F249</t>
  </si>
  <si>
    <t>F090</t>
  </si>
  <si>
    <t>F579</t>
  </si>
  <si>
    <t>F020</t>
  </si>
  <si>
    <t>F474</t>
  </si>
  <si>
    <t>F876</t>
  </si>
  <si>
    <t>F548</t>
  </si>
  <si>
    <t>F467</t>
  </si>
  <si>
    <t>F241</t>
  </si>
  <si>
    <t>F710</t>
  </si>
  <si>
    <t>F687</t>
  </si>
  <si>
    <t>F630</t>
  </si>
  <si>
    <t>F339</t>
  </si>
  <si>
    <t>F816</t>
  </si>
  <si>
    <t>F620</t>
  </si>
  <si>
    <t>F882</t>
  </si>
  <si>
    <t>F928</t>
  </si>
  <si>
    <t>F719</t>
  </si>
  <si>
    <t>F340</t>
  </si>
  <si>
    <t>Site_ID</t>
  </si>
  <si>
    <t>Management_Regime</t>
  </si>
  <si>
    <t>Biodiversity_Index</t>
  </si>
  <si>
    <t>S5873</t>
  </si>
  <si>
    <t>Routine mow</t>
  </si>
  <si>
    <t>S4852</t>
  </si>
  <si>
    <t>Reduced mow</t>
  </si>
  <si>
    <t>S6237</t>
  </si>
  <si>
    <t>Biodiverse planting</t>
  </si>
  <si>
    <t>S4190</t>
  </si>
  <si>
    <t>S1846</t>
  </si>
  <si>
    <t>S9377</t>
  </si>
  <si>
    <t>S3691</t>
  </si>
  <si>
    <t>S0917</t>
  </si>
  <si>
    <t>S4982</t>
  </si>
  <si>
    <t>S6713</t>
  </si>
  <si>
    <t>S0141</t>
  </si>
  <si>
    <t>S1992</t>
  </si>
  <si>
    <t>S7506</t>
  </si>
  <si>
    <t>S5691</t>
  </si>
  <si>
    <t>S6734</t>
  </si>
  <si>
    <t>S3038</t>
  </si>
  <si>
    <t>S6559</t>
  </si>
  <si>
    <t>S8690</t>
  </si>
  <si>
    <t>S7220</t>
  </si>
  <si>
    <t>S6720</t>
  </si>
  <si>
    <t>S1642</t>
  </si>
  <si>
    <t>S8801</t>
  </si>
  <si>
    <t>S5470</t>
  </si>
  <si>
    <t>S1198</t>
  </si>
  <si>
    <t>S3870</t>
  </si>
  <si>
    <t>S9077</t>
  </si>
  <si>
    <t>S0743</t>
  </si>
  <si>
    <t>S6937</t>
  </si>
  <si>
    <t>S4408</t>
  </si>
  <si>
    <t>S0523</t>
  </si>
  <si>
    <t>S5038</t>
  </si>
  <si>
    <t>S7319</t>
  </si>
  <si>
    <t>S3409</t>
  </si>
  <si>
    <t>S3107</t>
  </si>
  <si>
    <t>S8065</t>
  </si>
  <si>
    <t>S4247</t>
  </si>
  <si>
    <t>S6416</t>
  </si>
  <si>
    <t>S4990</t>
  </si>
  <si>
    <t>S6010</t>
  </si>
  <si>
    <t>S3959</t>
  </si>
  <si>
    <t>S5362</t>
  </si>
  <si>
    <t>S9784</t>
  </si>
  <si>
    <t>S7454</t>
  </si>
  <si>
    <t>S5690</t>
  </si>
  <si>
    <t>S0567</t>
  </si>
  <si>
    <t>S7566</t>
  </si>
  <si>
    <t>S6829</t>
  </si>
  <si>
    <t>S9718</t>
  </si>
  <si>
    <t>S1174</t>
  </si>
  <si>
    <t>S1067</t>
  </si>
  <si>
    <t>S6042</t>
  </si>
  <si>
    <t>S8993</t>
  </si>
  <si>
    <t>S5710</t>
  </si>
  <si>
    <t>S1498</t>
  </si>
  <si>
    <t>S3372</t>
  </si>
  <si>
    <t>S2856</t>
  </si>
  <si>
    <t>S5421</t>
  </si>
  <si>
    <t>S3065</t>
  </si>
  <si>
    <t>S3955</t>
  </si>
  <si>
    <t>S5230</t>
  </si>
  <si>
    <t>S9121</t>
  </si>
  <si>
    <t>S4022</t>
  </si>
  <si>
    <t>S3504</t>
  </si>
  <si>
    <t>S0858</t>
  </si>
  <si>
    <t>S0470</t>
  </si>
  <si>
    <t>S8791</t>
  </si>
  <si>
    <t>S5680</t>
  </si>
  <si>
    <t>S4791</t>
  </si>
  <si>
    <t>S8919</t>
  </si>
  <si>
    <t>S2322</t>
  </si>
  <si>
    <t>S9949</t>
  </si>
  <si>
    <t>No</t>
  </si>
  <si>
    <t>Question</t>
  </si>
  <si>
    <t>formula</t>
  </si>
  <si>
    <t>Answer</t>
  </si>
  <si>
    <t>Identify the dependent variable (Y).</t>
  </si>
  <si>
    <t/>
  </si>
  <si>
    <t>State the null hypothesis (H0) using the claimed mean.</t>
  </si>
  <si>
    <t>State the alternative hypothesis (H1).</t>
  </si>
  <si>
    <t>What statistical test is most appropriate?</t>
  </si>
  <si>
    <t>State one key assumption for this test.</t>
  </si>
  <si>
    <t>Compute the sample mean.</t>
  </si>
  <si>
    <t>'=AVERAGE(tZData[Nitrate_mgL])</t>
  </si>
  <si>
    <t>Compute the sample size n.</t>
  </si>
  <si>
    <t>'=COUNT(tZData[Nitrate_mgL])</t>
  </si>
  <si>
    <t>Compute the test statistic.</t>
  </si>
  <si>
    <t>'=(AVERAGE(tZData[Nitrate_mgL])-10)/(2.5/SQRT(COUNT(tZData[Nitrate_mgL])))</t>
  </si>
  <si>
    <t>Compute the corresponding p-value.</t>
  </si>
  <si>
    <t>Decision at α = 0.05 and a one-sentence conclusion.</t>
  </si>
  <si>
    <t>Y = Nitrate_mgL (continuous).</t>
  </si>
  <si>
    <t>H0: Mean nitrate concentration = 10 mg/L.</t>
  </si>
  <si>
    <t>H1: Mean nitrate concentration ≠ 10 mg/L.</t>
  </si>
  <si>
    <t>One-sample Z test (n &gt; 30; population sigma known, σ = 2.5).</t>
  </si>
  <si>
    <t>Observations are independent; distribution is approximately normal or n is large enough for CLT.</t>
  </si>
  <si>
    <t>If p-value &lt; 0.05, reject H0; conclude mean nitrate differs from the claimed mean. Otherwise, fail to reject H0.</t>
  </si>
  <si>
    <t>Identify the dependent comparison for this dataset.</t>
  </si>
  <si>
    <t>State the null hypothesis (H0).</t>
  </si>
  <si>
    <t>Explain which statistical test is most appropriate?</t>
  </si>
  <si>
    <t>Perform any preprocessing step needed in Excel before testing</t>
  </si>
  <si>
    <t>Determine the degree of freedom</t>
  </si>
  <si>
    <t>'=COUNT(tPairData[After_kWhDay]-tPairData[Before_kWhDay])-1)</t>
  </si>
  <si>
    <t>Compute the test statistic</t>
  </si>
  <si>
    <t>'=(AVERAGE(tPairData[After_kWhDay]-tPairData[Before_kWhDay]))/(STDEV.S(tPairData[After_kWhDay]-tPairData[Before_kWhDay])/SQRT(COUNT(tPairData[After_kWhDay]-tPairData[Before_kWhDay])))</t>
  </si>
  <si>
    <t>'=T.DIST(ABS((AVERAGE(tPairData[After_kWhDay]-tPairData[Before_kWhDay]))/(STDEV.S(tPairData[After_kWhDay]-tPairData[Before_kWhDay])/SQRT(COUNT(tPairData[After_kWhDay]-tPairData[Before_kWhDay])))), COUNT(tPairData[After_kWhDay]-tPairData[Before_kWhDay])-1)</t>
  </si>
  <si>
    <t>State two assumptions for a paired t-test.</t>
  </si>
  <si>
    <t>Paired differences = After_kWhDay - Before_kWhDay (continuous).</t>
  </si>
  <si>
    <t>H0: Mean paired difference = 0 (no change after retrofit).</t>
  </si>
  <si>
    <t>H1: Mean paired difference ≠ 0 (a change after retrofit).</t>
  </si>
  <si>
    <t>Paired t-test (same facilities measured twice).</t>
  </si>
  <si>
    <t>Create a Differences column (After - Before); exclude rows with missing values.</t>
  </si>
  <si>
    <t>Paired differences are approximately normal; pairs are correctly matched and independent of other pairs.</t>
  </si>
  <si>
    <t>If p-value &lt; 0.05, reject H0; conclude the retrofit changed mean electricity use. Otherwise, fail to reject H0.</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</si>
  <si>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</si>
  <si>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</si>
  <si>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</si>
  <si>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</si>
  <si>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</si>
  <si>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</si>
  <si>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</si>
  <si>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t>What is the mean biodiversity index of the biodiverse planting regime (i.e., β_biodiverse_planting)</t>
  </si>
  <si>
    <t>What is the adjusted R2</t>
  </si>
  <si>
    <t>State the conclusion of the test at α = 0.05.</t>
  </si>
  <si>
    <t>Y = Biodiversity_Index (continuous).</t>
  </si>
  <si>
    <t>X = Management_Regime (categorical).</t>
  </si>
  <si>
    <t>H0: Management regime has no effect; all regime coefficients (relative to reference) = 0.</t>
  </si>
  <si>
    <t>H1: At least one regime coefficient ≠ 0; regime influences biodiversity index.</t>
  </si>
  <si>
    <t>Linear regression with dummy variables for regime categories.</t>
  </si>
  <si>
    <t>Create dummy columns for Reduced mow and Biodiverse planting (reference = Routine mow).</t>
  </si>
  <si>
    <t>Linearity in parameters; homoscedasticity of residuals; residuals roughly normal; independence.</t>
  </si>
  <si>
    <t>Residuals vs fitted plot for homoscedasticity; histogram of residuals for normality; (optional) Q-Q style check.</t>
  </si>
  <si>
    <t>If p-value &lt; 0.05, reject H0; conclude that different verge management regime have different biodiversity indices. Otherwise, fail to reject H0.</t>
  </si>
  <si>
    <t>Dataset</t>
  </si>
  <si>
    <t>Context</t>
  </si>
  <si>
    <t>Data1</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</si>
  <si>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</si>
  <si>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Data2</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</si>
  <si>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</si>
  <si>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Data3</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</si>
  <si>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</si>
  <si>
    <t>=2*(1-NORM.S.DIST(ABS((AVERAGE(tZData[Nitrate_mgL])-10)/(2.5/SQRT(COUNT(tZData[Nitrate_mgL]))))),TRUE)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</si>
  <si>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</si>
  <si>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</si>
  <si>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</si>
  <si>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</si>
  <si>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</si>
  <si>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</si>
  <si>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</si>
  <si>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</si>
  <si>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</si>
  <si>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</si>
  <si>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</si>
  <si>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</si>
  <si>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</si>
  <si>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</si>
  <si>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</si>
  <si>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</si>
  <si>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</si>
  <si>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</si>
  <si>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</si>
  <si>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</si>
  <si>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</si>
  <si>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</si>
  <si>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</si>
  <si>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</si>
  <si>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</si>
  <si>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</si>
  <si>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Biodiversity_Index</t>
  </si>
  <si>
    <t>Residuals</t>
  </si>
  <si>
    <t>PROBABILITY OUTPUT</t>
  </si>
  <si>
    <t>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</si>
</sst>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i/>
      <sz val="11"/>
      <color rgb="FF00000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quotePrefix="1"/>
    <xf numFmtId="0" fontId="0" fillId="0" borderId="0" xfId="0" applyFill="1" applyBorder="1" applyAlignment="1"/>
    <xf numFmtId="0" fontId="0" fillId="0" borderId="2" xfId="0" applyFill="1" applyBorder="1" applyAlignment="1"/>
    <xf numFmtId="0" fontId="1" fillId="0" borderId="3" xfId="0" applyFont="1" applyFill="1" applyBorder="1" applyAlignment="1">
      <alignment horizontal="center"/>
    </xf>
    <xf numFmtId="0" fontId="1" fillId="0" borderId="3" xfId="0" applyFont="1" applyFill="1" applyBorder="1" applyAlignment="1">
      <alignment horizontal="centerContinuous"/>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Routine mow  Residual Plot</a:t>
            </a:r>
          </a:p>
        </c:rich>
      </c:tx>
      <c:overlay val="0"/>
    </c:title>
    <c:autoTitleDeleted val="0"/>
    <c:plotArea>
      <c:layout/>
      <c:scatterChart>
        <c:scatterStyle val="lineMarker"/>
        <c:varyColors val="0"/>
        <c:ser>
          <c:idx val="0"/>
          <c:order val="0"/>
          <c:spPr>
            <a:ln w="28575">
              <a:noFill/>
            </a:ln>
          </c:spPr>
          <c:xVal>
            <c:numRef>
              <c:f>Data3!$C$2:$C$72</c:f>
              <c:numCache>
                <c:formatCode>General</c:formatCode>
                <c:ptCount val="71"/>
                <c:pt idx="0">
                  <c:v>1</c:v>
                </c:pt>
                <c:pt idx="1">
                  <c:v>0</c:v>
                </c:pt>
                <c:pt idx="2">
                  <c:v>0</c:v>
                </c:pt>
                <c:pt idx="3">
                  <c:v>1</c:v>
                </c:pt>
                <c:pt idx="4">
                  <c:v>1</c:v>
                </c:pt>
                <c:pt idx="5">
                  <c:v>1</c:v>
                </c:pt>
                <c:pt idx="6">
                  <c:v>1</c:v>
                </c:pt>
                <c:pt idx="7">
                  <c:v>0</c:v>
                </c:pt>
                <c:pt idx="8">
                  <c:v>0</c:v>
                </c:pt>
                <c:pt idx="9">
                  <c:v>0</c:v>
                </c:pt>
                <c:pt idx="10">
                  <c:v>0</c:v>
                </c:pt>
                <c:pt idx="11">
                  <c:v>0</c:v>
                </c:pt>
                <c:pt idx="12">
                  <c:v>0</c:v>
                </c:pt>
                <c:pt idx="13">
                  <c:v>1</c:v>
                </c:pt>
                <c:pt idx="14">
                  <c:v>0</c:v>
                </c:pt>
                <c:pt idx="15">
                  <c:v>0</c:v>
                </c:pt>
                <c:pt idx="16">
                  <c:v>1</c:v>
                </c:pt>
                <c:pt idx="17">
                  <c:v>0</c:v>
                </c:pt>
                <c:pt idx="18">
                  <c:v>1</c:v>
                </c:pt>
                <c:pt idx="19">
                  <c:v>0</c:v>
                </c:pt>
                <c:pt idx="20">
                  <c:v>1</c:v>
                </c:pt>
                <c:pt idx="21">
                  <c:v>0</c:v>
                </c:pt>
                <c:pt idx="22">
                  <c:v>0</c:v>
                </c:pt>
                <c:pt idx="23">
                  <c:v>1</c:v>
                </c:pt>
                <c:pt idx="24">
                  <c:v>1</c:v>
                </c:pt>
                <c:pt idx="25">
                  <c:v>0</c:v>
                </c:pt>
                <c:pt idx="26">
                  <c:v>0</c:v>
                </c:pt>
                <c:pt idx="27">
                  <c:v>1</c:v>
                </c:pt>
                <c:pt idx="28">
                  <c:v>0</c:v>
                </c:pt>
                <c:pt idx="29">
                  <c:v>0</c:v>
                </c:pt>
                <c:pt idx="30">
                  <c:v>1</c:v>
                </c:pt>
                <c:pt idx="31">
                  <c:v>1</c:v>
                </c:pt>
                <c:pt idx="32">
                  <c:v>1</c:v>
                </c:pt>
                <c:pt idx="33">
                  <c:v>0</c:v>
                </c:pt>
                <c:pt idx="34">
                  <c:v>0</c:v>
                </c:pt>
                <c:pt idx="35">
                  <c:v>1</c:v>
                </c:pt>
                <c:pt idx="36">
                  <c:v>0</c:v>
                </c:pt>
                <c:pt idx="37">
                  <c:v>1</c:v>
                </c:pt>
                <c:pt idx="38">
                  <c:v>1</c:v>
                </c:pt>
                <c:pt idx="39">
                  <c:v>1</c:v>
                </c:pt>
                <c:pt idx="40">
                  <c:v>0</c:v>
                </c:pt>
                <c:pt idx="41">
                  <c:v>0</c:v>
                </c:pt>
                <c:pt idx="42">
                  <c:v>1</c:v>
                </c:pt>
                <c:pt idx="43">
                  <c:v>0</c:v>
                </c:pt>
                <c:pt idx="44">
                  <c:v>0</c:v>
                </c:pt>
                <c:pt idx="45">
                  <c:v>1</c:v>
                </c:pt>
                <c:pt idx="46">
                  <c:v>1</c:v>
                </c:pt>
                <c:pt idx="47">
                  <c:v>0</c:v>
                </c:pt>
                <c:pt idx="48">
                  <c:v>1</c:v>
                </c:pt>
                <c:pt idx="49">
                  <c:v>1</c:v>
                </c:pt>
                <c:pt idx="50">
                  <c:v>0</c:v>
                </c:pt>
                <c:pt idx="51">
                  <c:v>1</c:v>
                </c:pt>
                <c:pt idx="52">
                  <c:v>1</c:v>
                </c:pt>
                <c:pt idx="53">
                  <c:v>1</c:v>
                </c:pt>
                <c:pt idx="54">
                  <c:v>0</c:v>
                </c:pt>
                <c:pt idx="55">
                  <c:v>1</c:v>
                </c:pt>
                <c:pt idx="56">
                  <c:v>0</c:v>
                </c:pt>
                <c:pt idx="57">
                  <c:v>0</c:v>
                </c:pt>
                <c:pt idx="58">
                  <c:v>1</c:v>
                </c:pt>
                <c:pt idx="59">
                  <c:v>0</c:v>
                </c:pt>
                <c:pt idx="60">
                  <c:v>0</c:v>
                </c:pt>
                <c:pt idx="61">
                  <c:v>0</c:v>
                </c:pt>
                <c:pt idx="62">
                  <c:v>0</c:v>
                </c:pt>
                <c:pt idx="63">
                  <c:v>1</c:v>
                </c:pt>
                <c:pt idx="64">
                  <c:v>0</c:v>
                </c:pt>
                <c:pt idx="65">
                  <c:v>0</c:v>
                </c:pt>
                <c:pt idx="66">
                  <c:v>0</c:v>
                </c:pt>
                <c:pt idx="67">
                  <c:v>0</c:v>
                </c:pt>
                <c:pt idx="68">
                  <c:v>0</c:v>
                </c:pt>
                <c:pt idx="69">
                  <c:v>1</c:v>
                </c:pt>
                <c:pt idx="70">
                  <c:v>1</c:v>
                </c:pt>
              </c:numCache>
            </c:numRef>
          </c:xVal>
          <c:yVal>
            <c:numRef>
              <c:f>Data3!$I$26:$I$96</c:f>
              <c:numCache>
                <c:formatCode>General</c:formatCode>
                <c:ptCount val="71"/>
                <c:pt idx="0">
                  <c:v>0.39942530217086869</c:v>
                </c:pt>
                <c:pt idx="1">
                  <c:v>-8.0904761904761884</c:v>
                </c:pt>
                <c:pt idx="2">
                  <c:v>-1.3611111111111072</c:v>
                </c:pt>
                <c:pt idx="3">
                  <c:v>-0.80057469782913415</c:v>
                </c:pt>
                <c:pt idx="4">
                  <c:v>-15.100574697829135</c:v>
                </c:pt>
                <c:pt idx="5">
                  <c:v>-4.4005746978291356</c:v>
                </c:pt>
                <c:pt idx="6">
                  <c:v>-2.9005746978291356</c:v>
                </c:pt>
                <c:pt idx="7">
                  <c:v>11.938888888888897</c:v>
                </c:pt>
                <c:pt idx="8">
                  <c:v>-3.7904761904761841</c:v>
                </c:pt>
                <c:pt idx="9">
                  <c:v>10.909523809523812</c:v>
                </c:pt>
                <c:pt idx="10">
                  <c:v>-3.2611111111111057</c:v>
                </c:pt>
                <c:pt idx="11">
                  <c:v>-6.2611111111111057</c:v>
                </c:pt>
                <c:pt idx="12">
                  <c:v>-0.89047619047618554</c:v>
                </c:pt>
                <c:pt idx="13">
                  <c:v>1.0994253021708644</c:v>
                </c:pt>
                <c:pt idx="14">
                  <c:v>5.4095238095238116</c:v>
                </c:pt>
                <c:pt idx="15">
                  <c:v>-7.7611111111111057</c:v>
                </c:pt>
                <c:pt idx="16">
                  <c:v>11.299425302170867</c:v>
                </c:pt>
                <c:pt idx="17">
                  <c:v>-8.9611111111111086</c:v>
                </c:pt>
                <c:pt idx="18">
                  <c:v>-16.300574697829134</c:v>
                </c:pt>
                <c:pt idx="19">
                  <c:v>1.009523809523813</c:v>
                </c:pt>
                <c:pt idx="20">
                  <c:v>7.499425302170863</c:v>
                </c:pt>
                <c:pt idx="21">
                  <c:v>3.3388888888888957</c:v>
                </c:pt>
                <c:pt idx="22">
                  <c:v>3.6095238095238145</c:v>
                </c:pt>
                <c:pt idx="23">
                  <c:v>-1.3005746978291342</c:v>
                </c:pt>
                <c:pt idx="24">
                  <c:v>-9.9005746978291356</c:v>
                </c:pt>
                <c:pt idx="25">
                  <c:v>-2.3904761904761855</c:v>
                </c:pt>
                <c:pt idx="26">
                  <c:v>-10.790476190476188</c:v>
                </c:pt>
                <c:pt idx="27">
                  <c:v>8.2994253021708673</c:v>
                </c:pt>
                <c:pt idx="28">
                  <c:v>1.4095238095238116</c:v>
                </c:pt>
                <c:pt idx="29">
                  <c:v>2.3095238095238102</c:v>
                </c:pt>
                <c:pt idx="30">
                  <c:v>-3.8005746978291342</c:v>
                </c:pt>
                <c:pt idx="31">
                  <c:v>3.5994253021708644</c:v>
                </c:pt>
                <c:pt idx="32">
                  <c:v>6.6994253021708658</c:v>
                </c:pt>
                <c:pt idx="33">
                  <c:v>11.338888888888896</c:v>
                </c:pt>
                <c:pt idx="34">
                  <c:v>0.60952380952381446</c:v>
                </c:pt>
                <c:pt idx="35">
                  <c:v>-2.500574697829137</c:v>
                </c:pt>
                <c:pt idx="36">
                  <c:v>8.3388888888888957</c:v>
                </c:pt>
                <c:pt idx="37">
                  <c:v>2.1994253021708658</c:v>
                </c:pt>
                <c:pt idx="38">
                  <c:v>5.6994253021708658</c:v>
                </c:pt>
                <c:pt idx="39">
                  <c:v>24.817815632703471</c:v>
                </c:pt>
                <c:pt idx="40">
                  <c:v>-5.0611111111111029</c:v>
                </c:pt>
                <c:pt idx="41">
                  <c:v>-4.8904761904761855</c:v>
                </c:pt>
                <c:pt idx="42">
                  <c:v>7.0994253021708644</c:v>
                </c:pt>
                <c:pt idx="43">
                  <c:v>-0.66111111111110432</c:v>
                </c:pt>
                <c:pt idx="44">
                  <c:v>4.6095238095238145</c:v>
                </c:pt>
                <c:pt idx="45">
                  <c:v>-3.9005746978291356</c:v>
                </c:pt>
                <c:pt idx="46">
                  <c:v>-21.700574697829133</c:v>
                </c:pt>
                <c:pt idx="47">
                  <c:v>-6.2904761904761841</c:v>
                </c:pt>
                <c:pt idx="48">
                  <c:v>5.999425302170863</c:v>
                </c:pt>
                <c:pt idx="49">
                  <c:v>-1.6005746978291313</c:v>
                </c:pt>
                <c:pt idx="50">
                  <c:v>-6.5611111111111029</c:v>
                </c:pt>
                <c:pt idx="51">
                  <c:v>3.6994253021708658</c:v>
                </c:pt>
                <c:pt idx="52">
                  <c:v>9.3994253021708687</c:v>
                </c:pt>
                <c:pt idx="53">
                  <c:v>9.9425302170864427E-2</c:v>
                </c:pt>
                <c:pt idx="54">
                  <c:v>-6.3611111111111072</c:v>
                </c:pt>
                <c:pt idx="55">
                  <c:v>1.499425302170863</c:v>
                </c:pt>
                <c:pt idx="56">
                  <c:v>-2.5904761904761884</c:v>
                </c:pt>
                <c:pt idx="57">
                  <c:v>10.109523809523814</c:v>
                </c:pt>
                <c:pt idx="58">
                  <c:v>-9.9005746978291356</c:v>
                </c:pt>
                <c:pt idx="59">
                  <c:v>11.409523809523812</c:v>
                </c:pt>
                <c:pt idx="60">
                  <c:v>-0.86111111111110716</c:v>
                </c:pt>
                <c:pt idx="61">
                  <c:v>7.7388888888888943</c:v>
                </c:pt>
                <c:pt idx="62">
                  <c:v>-1.4611111111111086</c:v>
                </c:pt>
                <c:pt idx="63">
                  <c:v>-2.7005746978291327</c:v>
                </c:pt>
                <c:pt idx="64">
                  <c:v>-1.7904761904761841</c:v>
                </c:pt>
                <c:pt idx="65">
                  <c:v>3.7388888888888943</c:v>
                </c:pt>
                <c:pt idx="66">
                  <c:v>-8.3904761904761855</c:v>
                </c:pt>
                <c:pt idx="67">
                  <c:v>-1.490476190476187</c:v>
                </c:pt>
                <c:pt idx="68">
                  <c:v>2.1388888888888928</c:v>
                </c:pt>
                <c:pt idx="69">
                  <c:v>9.0994253021708644</c:v>
                </c:pt>
                <c:pt idx="70">
                  <c:v>-11.700574697829133</c:v>
                </c:pt>
              </c:numCache>
            </c:numRef>
          </c:yVal>
          <c:smooth val="0"/>
          <c:extLst>
            <c:ext xmlns:c16="http://schemas.microsoft.com/office/drawing/2014/chart" uri="{C3380CC4-5D6E-409C-BE32-E72D297353CC}">
              <c16:uniqueId val="{00000001-F116-4F78-ABB0-C08161382647}"/>
            </c:ext>
          </c:extLst>
        </c:ser>
        <c:dLbls>
          <c:showLegendKey val="0"/>
          <c:showVal val="0"/>
          <c:showCatName val="0"/>
          <c:showSerName val="0"/>
          <c:showPercent val="0"/>
          <c:showBubbleSize val="0"/>
        </c:dLbls>
        <c:axId val="685871279"/>
        <c:axId val="685870799"/>
      </c:scatterChart>
      <c:valAx>
        <c:axId val="685871279"/>
        <c:scaling>
          <c:orientation val="minMax"/>
        </c:scaling>
        <c:delete val="0"/>
        <c:axPos val="b"/>
        <c:title>
          <c:tx>
            <c:rich>
              <a:bodyPr/>
              <a:lstStyle/>
              <a:p>
                <a:pPr>
                  <a:defRPr/>
                </a:pPr>
                <a:r>
                  <a:rPr lang="en-SG"/>
                  <a:t>Routine mow</a:t>
                </a:r>
              </a:p>
            </c:rich>
          </c:tx>
          <c:overlay val="0"/>
        </c:title>
        <c:numFmt formatCode="General" sourceLinked="1"/>
        <c:majorTickMark val="out"/>
        <c:minorTickMark val="none"/>
        <c:tickLblPos val="nextTo"/>
        <c:crossAx val="685870799"/>
        <c:crosses val="autoZero"/>
        <c:crossBetween val="midCat"/>
      </c:valAx>
      <c:valAx>
        <c:axId val="685870799"/>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6858712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Biodiverse planting  Residual Plot</a:t>
            </a:r>
          </a:p>
        </c:rich>
      </c:tx>
      <c:overlay val="0"/>
    </c:title>
    <c:autoTitleDeleted val="0"/>
    <c:plotArea>
      <c:layout/>
      <c:scatterChart>
        <c:scatterStyle val="lineMarker"/>
        <c:varyColors val="0"/>
        <c:ser>
          <c:idx val="0"/>
          <c:order val="0"/>
          <c:spPr>
            <a:ln w="28575">
              <a:noFill/>
            </a:ln>
          </c:spPr>
          <c:xVal>
            <c:numRef>
              <c:f>Data3!$D$2:$D$72</c:f>
              <c:numCache>
                <c:formatCode>General</c:formatCode>
                <c:ptCount val="71"/>
                <c:pt idx="0">
                  <c:v>0</c:v>
                </c:pt>
                <c:pt idx="1">
                  <c:v>0</c:v>
                </c:pt>
                <c:pt idx="2">
                  <c:v>1</c:v>
                </c:pt>
                <c:pt idx="3">
                  <c:v>0</c:v>
                </c:pt>
                <c:pt idx="4">
                  <c:v>0</c:v>
                </c:pt>
                <c:pt idx="5">
                  <c:v>0</c:v>
                </c:pt>
                <c:pt idx="6">
                  <c:v>0</c:v>
                </c:pt>
                <c:pt idx="7">
                  <c:v>1</c:v>
                </c:pt>
                <c:pt idx="8">
                  <c:v>0</c:v>
                </c:pt>
                <c:pt idx="9">
                  <c:v>0</c:v>
                </c:pt>
                <c:pt idx="10">
                  <c:v>1</c:v>
                </c:pt>
                <c:pt idx="11">
                  <c:v>1</c:v>
                </c:pt>
                <c:pt idx="12">
                  <c:v>0</c:v>
                </c:pt>
                <c:pt idx="13">
                  <c:v>0</c:v>
                </c:pt>
                <c:pt idx="14">
                  <c:v>0</c:v>
                </c:pt>
                <c:pt idx="15">
                  <c:v>1</c:v>
                </c:pt>
                <c:pt idx="16">
                  <c:v>0</c:v>
                </c:pt>
                <c:pt idx="17">
                  <c:v>1</c:v>
                </c:pt>
                <c:pt idx="18">
                  <c:v>0</c:v>
                </c:pt>
                <c:pt idx="19">
                  <c:v>0</c:v>
                </c:pt>
                <c:pt idx="20">
                  <c:v>0</c:v>
                </c:pt>
                <c:pt idx="21">
                  <c:v>1</c:v>
                </c:pt>
                <c:pt idx="22">
                  <c:v>0</c:v>
                </c:pt>
                <c:pt idx="23">
                  <c:v>0</c:v>
                </c:pt>
                <c:pt idx="24">
                  <c:v>0</c:v>
                </c:pt>
                <c:pt idx="25">
                  <c:v>0</c:v>
                </c:pt>
                <c:pt idx="26">
                  <c:v>0</c:v>
                </c:pt>
                <c:pt idx="27">
                  <c:v>0</c:v>
                </c:pt>
                <c:pt idx="28">
                  <c:v>0</c:v>
                </c:pt>
                <c:pt idx="29">
                  <c:v>0</c:v>
                </c:pt>
                <c:pt idx="30">
                  <c:v>0</c:v>
                </c:pt>
                <c:pt idx="31">
                  <c:v>0</c:v>
                </c:pt>
                <c:pt idx="32">
                  <c:v>0</c:v>
                </c:pt>
                <c:pt idx="33">
                  <c:v>1</c:v>
                </c:pt>
                <c:pt idx="34">
                  <c:v>0</c:v>
                </c:pt>
                <c:pt idx="35">
                  <c:v>0</c:v>
                </c:pt>
                <c:pt idx="36">
                  <c:v>1</c:v>
                </c:pt>
                <c:pt idx="37">
                  <c:v>0</c:v>
                </c:pt>
                <c:pt idx="38">
                  <c:v>0</c:v>
                </c:pt>
                <c:pt idx="39">
                  <c:v>0</c:v>
                </c:pt>
                <c:pt idx="40">
                  <c:v>1</c:v>
                </c:pt>
                <c:pt idx="41">
                  <c:v>0</c:v>
                </c:pt>
                <c:pt idx="42">
                  <c:v>0</c:v>
                </c:pt>
                <c:pt idx="43">
                  <c:v>1</c:v>
                </c:pt>
                <c:pt idx="44">
                  <c:v>0</c:v>
                </c:pt>
                <c:pt idx="45">
                  <c:v>0</c:v>
                </c:pt>
                <c:pt idx="46">
                  <c:v>0</c:v>
                </c:pt>
                <c:pt idx="47">
                  <c:v>0</c:v>
                </c:pt>
                <c:pt idx="48">
                  <c:v>0</c:v>
                </c:pt>
                <c:pt idx="49">
                  <c:v>0</c:v>
                </c:pt>
                <c:pt idx="50">
                  <c:v>1</c:v>
                </c:pt>
                <c:pt idx="51">
                  <c:v>0</c:v>
                </c:pt>
                <c:pt idx="52">
                  <c:v>0</c:v>
                </c:pt>
                <c:pt idx="53">
                  <c:v>0</c:v>
                </c:pt>
                <c:pt idx="54">
                  <c:v>1</c:v>
                </c:pt>
                <c:pt idx="55">
                  <c:v>0</c:v>
                </c:pt>
                <c:pt idx="56">
                  <c:v>0</c:v>
                </c:pt>
                <c:pt idx="57">
                  <c:v>0</c:v>
                </c:pt>
                <c:pt idx="58">
                  <c:v>0</c:v>
                </c:pt>
                <c:pt idx="59">
                  <c:v>0</c:v>
                </c:pt>
                <c:pt idx="60">
                  <c:v>1</c:v>
                </c:pt>
                <c:pt idx="61">
                  <c:v>1</c:v>
                </c:pt>
                <c:pt idx="62">
                  <c:v>1</c:v>
                </c:pt>
                <c:pt idx="63">
                  <c:v>0</c:v>
                </c:pt>
                <c:pt idx="64">
                  <c:v>0</c:v>
                </c:pt>
                <c:pt idx="65">
                  <c:v>1</c:v>
                </c:pt>
                <c:pt idx="66">
                  <c:v>0</c:v>
                </c:pt>
                <c:pt idx="67">
                  <c:v>0</c:v>
                </c:pt>
                <c:pt idx="68">
                  <c:v>1</c:v>
                </c:pt>
                <c:pt idx="69">
                  <c:v>0</c:v>
                </c:pt>
                <c:pt idx="70">
                  <c:v>0</c:v>
                </c:pt>
              </c:numCache>
            </c:numRef>
          </c:xVal>
          <c:yVal>
            <c:numRef>
              <c:f>Data3!$I$26:$I$96</c:f>
              <c:numCache>
                <c:formatCode>General</c:formatCode>
                <c:ptCount val="71"/>
                <c:pt idx="0">
                  <c:v>0.39942530217086869</c:v>
                </c:pt>
                <c:pt idx="1">
                  <c:v>-8.0904761904761884</c:v>
                </c:pt>
                <c:pt idx="2">
                  <c:v>-1.3611111111111072</c:v>
                </c:pt>
                <c:pt idx="3">
                  <c:v>-0.80057469782913415</c:v>
                </c:pt>
                <c:pt idx="4">
                  <c:v>-15.100574697829135</c:v>
                </c:pt>
                <c:pt idx="5">
                  <c:v>-4.4005746978291356</c:v>
                </c:pt>
                <c:pt idx="6">
                  <c:v>-2.9005746978291356</c:v>
                </c:pt>
                <c:pt idx="7">
                  <c:v>11.938888888888897</c:v>
                </c:pt>
                <c:pt idx="8">
                  <c:v>-3.7904761904761841</c:v>
                </c:pt>
                <c:pt idx="9">
                  <c:v>10.909523809523812</c:v>
                </c:pt>
                <c:pt idx="10">
                  <c:v>-3.2611111111111057</c:v>
                </c:pt>
                <c:pt idx="11">
                  <c:v>-6.2611111111111057</c:v>
                </c:pt>
                <c:pt idx="12">
                  <c:v>-0.89047619047618554</c:v>
                </c:pt>
                <c:pt idx="13">
                  <c:v>1.0994253021708644</c:v>
                </c:pt>
                <c:pt idx="14">
                  <c:v>5.4095238095238116</c:v>
                </c:pt>
                <c:pt idx="15">
                  <c:v>-7.7611111111111057</c:v>
                </c:pt>
                <c:pt idx="16">
                  <c:v>11.299425302170867</c:v>
                </c:pt>
                <c:pt idx="17">
                  <c:v>-8.9611111111111086</c:v>
                </c:pt>
                <c:pt idx="18">
                  <c:v>-16.300574697829134</c:v>
                </c:pt>
                <c:pt idx="19">
                  <c:v>1.009523809523813</c:v>
                </c:pt>
                <c:pt idx="20">
                  <c:v>7.499425302170863</c:v>
                </c:pt>
                <c:pt idx="21">
                  <c:v>3.3388888888888957</c:v>
                </c:pt>
                <c:pt idx="22">
                  <c:v>3.6095238095238145</c:v>
                </c:pt>
                <c:pt idx="23">
                  <c:v>-1.3005746978291342</c:v>
                </c:pt>
                <c:pt idx="24">
                  <c:v>-9.9005746978291356</c:v>
                </c:pt>
                <c:pt idx="25">
                  <c:v>-2.3904761904761855</c:v>
                </c:pt>
                <c:pt idx="26">
                  <c:v>-10.790476190476188</c:v>
                </c:pt>
                <c:pt idx="27">
                  <c:v>8.2994253021708673</c:v>
                </c:pt>
                <c:pt idx="28">
                  <c:v>1.4095238095238116</c:v>
                </c:pt>
                <c:pt idx="29">
                  <c:v>2.3095238095238102</c:v>
                </c:pt>
                <c:pt idx="30">
                  <c:v>-3.8005746978291342</c:v>
                </c:pt>
                <c:pt idx="31">
                  <c:v>3.5994253021708644</c:v>
                </c:pt>
                <c:pt idx="32">
                  <c:v>6.6994253021708658</c:v>
                </c:pt>
                <c:pt idx="33">
                  <c:v>11.338888888888896</c:v>
                </c:pt>
                <c:pt idx="34">
                  <c:v>0.60952380952381446</c:v>
                </c:pt>
                <c:pt idx="35">
                  <c:v>-2.500574697829137</c:v>
                </c:pt>
                <c:pt idx="36">
                  <c:v>8.3388888888888957</c:v>
                </c:pt>
                <c:pt idx="37">
                  <c:v>2.1994253021708658</c:v>
                </c:pt>
                <c:pt idx="38">
                  <c:v>5.6994253021708658</c:v>
                </c:pt>
                <c:pt idx="39">
                  <c:v>24.817815632703471</c:v>
                </c:pt>
                <c:pt idx="40">
                  <c:v>-5.0611111111111029</c:v>
                </c:pt>
                <c:pt idx="41">
                  <c:v>-4.8904761904761855</c:v>
                </c:pt>
                <c:pt idx="42">
                  <c:v>7.0994253021708644</c:v>
                </c:pt>
                <c:pt idx="43">
                  <c:v>-0.66111111111110432</c:v>
                </c:pt>
                <c:pt idx="44">
                  <c:v>4.6095238095238145</c:v>
                </c:pt>
                <c:pt idx="45">
                  <c:v>-3.9005746978291356</c:v>
                </c:pt>
                <c:pt idx="46">
                  <c:v>-21.700574697829133</c:v>
                </c:pt>
                <c:pt idx="47">
                  <c:v>-6.2904761904761841</c:v>
                </c:pt>
                <c:pt idx="48">
                  <c:v>5.999425302170863</c:v>
                </c:pt>
                <c:pt idx="49">
                  <c:v>-1.6005746978291313</c:v>
                </c:pt>
                <c:pt idx="50">
                  <c:v>-6.5611111111111029</c:v>
                </c:pt>
                <c:pt idx="51">
                  <c:v>3.6994253021708658</c:v>
                </c:pt>
                <c:pt idx="52">
                  <c:v>9.3994253021708687</c:v>
                </c:pt>
                <c:pt idx="53">
                  <c:v>9.9425302170864427E-2</c:v>
                </c:pt>
                <c:pt idx="54">
                  <c:v>-6.3611111111111072</c:v>
                </c:pt>
                <c:pt idx="55">
                  <c:v>1.499425302170863</c:v>
                </c:pt>
                <c:pt idx="56">
                  <c:v>-2.5904761904761884</c:v>
                </c:pt>
                <c:pt idx="57">
                  <c:v>10.109523809523814</c:v>
                </c:pt>
                <c:pt idx="58">
                  <c:v>-9.9005746978291356</c:v>
                </c:pt>
                <c:pt idx="59">
                  <c:v>11.409523809523812</c:v>
                </c:pt>
                <c:pt idx="60">
                  <c:v>-0.86111111111110716</c:v>
                </c:pt>
                <c:pt idx="61">
                  <c:v>7.7388888888888943</c:v>
                </c:pt>
                <c:pt idx="62">
                  <c:v>-1.4611111111111086</c:v>
                </c:pt>
                <c:pt idx="63">
                  <c:v>-2.7005746978291327</c:v>
                </c:pt>
                <c:pt idx="64">
                  <c:v>-1.7904761904761841</c:v>
                </c:pt>
                <c:pt idx="65">
                  <c:v>3.7388888888888943</c:v>
                </c:pt>
                <c:pt idx="66">
                  <c:v>-8.3904761904761855</c:v>
                </c:pt>
                <c:pt idx="67">
                  <c:v>-1.490476190476187</c:v>
                </c:pt>
                <c:pt idx="68">
                  <c:v>2.1388888888888928</c:v>
                </c:pt>
                <c:pt idx="69">
                  <c:v>9.0994253021708644</c:v>
                </c:pt>
                <c:pt idx="70">
                  <c:v>-11.700574697829133</c:v>
                </c:pt>
              </c:numCache>
            </c:numRef>
          </c:yVal>
          <c:smooth val="0"/>
          <c:extLst>
            <c:ext xmlns:c16="http://schemas.microsoft.com/office/drawing/2014/chart" uri="{C3380CC4-5D6E-409C-BE32-E72D297353CC}">
              <c16:uniqueId val="{00000001-8EB2-4748-BAD3-C5B3FE1CD7E9}"/>
            </c:ext>
          </c:extLst>
        </c:ser>
        <c:dLbls>
          <c:showLegendKey val="0"/>
          <c:showVal val="0"/>
          <c:showCatName val="0"/>
          <c:showSerName val="0"/>
          <c:showPercent val="0"/>
          <c:showBubbleSize val="0"/>
        </c:dLbls>
        <c:axId val="747196399"/>
        <c:axId val="747191119"/>
      </c:scatterChart>
      <c:valAx>
        <c:axId val="747196399"/>
        <c:scaling>
          <c:orientation val="minMax"/>
        </c:scaling>
        <c:delete val="0"/>
        <c:axPos val="b"/>
        <c:title>
          <c:tx>
            <c:rich>
              <a:bodyPr/>
              <a:lstStyle/>
              <a:p>
                <a:pPr>
                  <a:defRPr/>
                </a:pPr>
                <a:r>
                  <a:rPr lang="en-SG"/>
                  <a:t>Biodiverse planting</a:t>
                </a:r>
              </a:p>
            </c:rich>
          </c:tx>
          <c:overlay val="0"/>
        </c:title>
        <c:numFmt formatCode="General" sourceLinked="1"/>
        <c:majorTickMark val="out"/>
        <c:minorTickMark val="none"/>
        <c:tickLblPos val="nextTo"/>
        <c:crossAx val="747191119"/>
        <c:crosses val="autoZero"/>
        <c:crossBetween val="midCat"/>
      </c:valAx>
      <c:valAx>
        <c:axId val="747191119"/>
        <c:scaling>
          <c:orientation val="minMax"/>
        </c:scaling>
        <c:delete val="0"/>
        <c:axPos val="l"/>
        <c:title>
          <c:tx>
            <c:rich>
              <a:bodyPr/>
              <a:lstStyle/>
              <a:p>
                <a:pPr>
                  <a:defRPr/>
                </a:pPr>
                <a:r>
                  <a:rPr lang="en-SG"/>
                  <a:t>Residuals</a:t>
                </a:r>
              </a:p>
            </c:rich>
          </c:tx>
          <c:overlay val="0"/>
        </c:title>
        <c:numFmt formatCode="General" sourceLinked="1"/>
        <c:majorTickMark val="out"/>
        <c:minorTickMark val="none"/>
        <c:tickLblPos val="nextTo"/>
        <c:crossAx val="74719639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SG"/>
              <a:t>Normal Probability Plot</a:t>
            </a:r>
          </a:p>
        </c:rich>
      </c:tx>
      <c:overlay val="0"/>
    </c:title>
    <c:autoTitleDeleted val="0"/>
    <c:plotArea>
      <c:layout/>
      <c:scatterChart>
        <c:scatterStyle val="lineMarker"/>
        <c:varyColors val="0"/>
        <c:ser>
          <c:idx val="0"/>
          <c:order val="0"/>
          <c:spPr>
            <a:ln w="28575">
              <a:noFill/>
            </a:ln>
          </c:spPr>
          <c:xVal>
            <c:numRef>
              <c:f>Data3!$K$26:$K$96</c:f>
              <c:numCache>
                <c:formatCode>General</c:formatCode>
                <c:ptCount val="71"/>
                <c:pt idx="0">
                  <c:v>0.70422535211267601</c:v>
                </c:pt>
                <c:pt idx="1">
                  <c:v>2.112676056338028</c:v>
                </c:pt>
                <c:pt idx="2">
                  <c:v>3.52112676056338</c:v>
                </c:pt>
                <c:pt idx="3">
                  <c:v>4.929577464788732</c:v>
                </c:pt>
                <c:pt idx="4">
                  <c:v>6.3380281690140841</c:v>
                </c:pt>
                <c:pt idx="5">
                  <c:v>7.7464788732394361</c:v>
                </c:pt>
                <c:pt idx="6">
                  <c:v>9.1549295774647881</c:v>
                </c:pt>
                <c:pt idx="7">
                  <c:v>10.56338028169014</c:v>
                </c:pt>
                <c:pt idx="8">
                  <c:v>11.971830985915492</c:v>
                </c:pt>
                <c:pt idx="9">
                  <c:v>13.380281690140844</c:v>
                </c:pt>
                <c:pt idx="10">
                  <c:v>14.788732394366196</c:v>
                </c:pt>
                <c:pt idx="11">
                  <c:v>16.197183098591548</c:v>
                </c:pt>
                <c:pt idx="12">
                  <c:v>17.6056338028169</c:v>
                </c:pt>
                <c:pt idx="13">
                  <c:v>19.014084507042252</c:v>
                </c:pt>
                <c:pt idx="14">
                  <c:v>20.422535211267604</c:v>
                </c:pt>
                <c:pt idx="15">
                  <c:v>21.830985915492956</c:v>
                </c:pt>
                <c:pt idx="16">
                  <c:v>23.239436619718308</c:v>
                </c:pt>
                <c:pt idx="17">
                  <c:v>24.64788732394366</c:v>
                </c:pt>
                <c:pt idx="18">
                  <c:v>26.056338028169012</c:v>
                </c:pt>
                <c:pt idx="19">
                  <c:v>27.464788732394364</c:v>
                </c:pt>
                <c:pt idx="20">
                  <c:v>28.873239436619716</c:v>
                </c:pt>
                <c:pt idx="21">
                  <c:v>30.281690140845068</c:v>
                </c:pt>
                <c:pt idx="22">
                  <c:v>31.69014084507042</c:v>
                </c:pt>
                <c:pt idx="23">
                  <c:v>33.098591549295776</c:v>
                </c:pt>
                <c:pt idx="24">
                  <c:v>34.507042253521121</c:v>
                </c:pt>
                <c:pt idx="25">
                  <c:v>35.91549295774648</c:v>
                </c:pt>
                <c:pt idx="26">
                  <c:v>37.323943661971825</c:v>
                </c:pt>
                <c:pt idx="27">
                  <c:v>38.732394366197184</c:v>
                </c:pt>
                <c:pt idx="28">
                  <c:v>40.140845070422529</c:v>
                </c:pt>
                <c:pt idx="29">
                  <c:v>41.549295774647888</c:v>
                </c:pt>
                <c:pt idx="30">
                  <c:v>42.957746478873233</c:v>
                </c:pt>
                <c:pt idx="31">
                  <c:v>44.366197183098592</c:v>
                </c:pt>
                <c:pt idx="32">
                  <c:v>45.774647887323937</c:v>
                </c:pt>
                <c:pt idx="33">
                  <c:v>47.183098591549296</c:v>
                </c:pt>
                <c:pt idx="34">
                  <c:v>48.591549295774641</c:v>
                </c:pt>
                <c:pt idx="35">
                  <c:v>50</c:v>
                </c:pt>
                <c:pt idx="36">
                  <c:v>51.408450704225345</c:v>
                </c:pt>
                <c:pt idx="37">
                  <c:v>52.816901408450704</c:v>
                </c:pt>
                <c:pt idx="38">
                  <c:v>54.225352112676049</c:v>
                </c:pt>
                <c:pt idx="39">
                  <c:v>55.633802816901408</c:v>
                </c:pt>
                <c:pt idx="40">
                  <c:v>57.042253521126753</c:v>
                </c:pt>
                <c:pt idx="41">
                  <c:v>58.450704225352112</c:v>
                </c:pt>
                <c:pt idx="42">
                  <c:v>59.859154929577457</c:v>
                </c:pt>
                <c:pt idx="43">
                  <c:v>61.267605633802816</c:v>
                </c:pt>
                <c:pt idx="44">
                  <c:v>62.676056338028161</c:v>
                </c:pt>
                <c:pt idx="45">
                  <c:v>64.08450704225352</c:v>
                </c:pt>
                <c:pt idx="46">
                  <c:v>65.492957746478865</c:v>
                </c:pt>
                <c:pt idx="47">
                  <c:v>66.901408450704224</c:v>
                </c:pt>
                <c:pt idx="48">
                  <c:v>68.309859154929569</c:v>
                </c:pt>
                <c:pt idx="49">
                  <c:v>69.718309859154914</c:v>
                </c:pt>
                <c:pt idx="50">
                  <c:v>71.126760563380273</c:v>
                </c:pt>
                <c:pt idx="51">
                  <c:v>72.535211267605632</c:v>
                </c:pt>
                <c:pt idx="52">
                  <c:v>73.943661971830977</c:v>
                </c:pt>
                <c:pt idx="53">
                  <c:v>75.352112676056322</c:v>
                </c:pt>
                <c:pt idx="54">
                  <c:v>76.760563380281681</c:v>
                </c:pt>
                <c:pt idx="55">
                  <c:v>78.16901408450704</c:v>
                </c:pt>
                <c:pt idx="56">
                  <c:v>79.577464788732385</c:v>
                </c:pt>
                <c:pt idx="57">
                  <c:v>80.98591549295773</c:v>
                </c:pt>
                <c:pt idx="58">
                  <c:v>82.394366197183089</c:v>
                </c:pt>
                <c:pt idx="59">
                  <c:v>83.802816901408448</c:v>
                </c:pt>
                <c:pt idx="60">
                  <c:v>85.211267605633793</c:v>
                </c:pt>
                <c:pt idx="61">
                  <c:v>86.619718309859138</c:v>
                </c:pt>
                <c:pt idx="62">
                  <c:v>88.028169014084497</c:v>
                </c:pt>
                <c:pt idx="63">
                  <c:v>89.436619718309856</c:v>
                </c:pt>
                <c:pt idx="64">
                  <c:v>90.845070422535201</c:v>
                </c:pt>
                <c:pt idx="65">
                  <c:v>92.253521126760546</c:v>
                </c:pt>
                <c:pt idx="66">
                  <c:v>93.661971830985905</c:v>
                </c:pt>
                <c:pt idx="67">
                  <c:v>95.070422535211264</c:v>
                </c:pt>
                <c:pt idx="68">
                  <c:v>96.478873239436609</c:v>
                </c:pt>
                <c:pt idx="69">
                  <c:v>97.887323943661954</c:v>
                </c:pt>
                <c:pt idx="70">
                  <c:v>99.295774647887313</c:v>
                </c:pt>
              </c:numCache>
            </c:numRef>
          </c:xVal>
          <c:yVal>
            <c:numRef>
              <c:f>Data3!$L$26:$L$96</c:f>
              <c:numCache>
                <c:formatCode>General</c:formatCode>
                <c:ptCount val="71"/>
                <c:pt idx="0">
                  <c:v>23.1</c:v>
                </c:pt>
                <c:pt idx="1">
                  <c:v>28.5</c:v>
                </c:pt>
                <c:pt idx="2">
                  <c:v>29.7</c:v>
                </c:pt>
                <c:pt idx="3">
                  <c:v>31.2</c:v>
                </c:pt>
                <c:pt idx="4">
                  <c:v>33.1</c:v>
                </c:pt>
                <c:pt idx="5">
                  <c:v>33.6</c:v>
                </c:pt>
                <c:pt idx="6">
                  <c:v>33.9</c:v>
                </c:pt>
                <c:pt idx="7">
                  <c:v>34.299999999999997</c:v>
                </c:pt>
                <c:pt idx="8">
                  <c:v>34.9</c:v>
                </c:pt>
                <c:pt idx="9">
                  <c:v>34.9</c:v>
                </c:pt>
                <c:pt idx="10">
                  <c:v>35.5</c:v>
                </c:pt>
                <c:pt idx="11">
                  <c:v>35.700000000000003</c:v>
                </c:pt>
                <c:pt idx="12">
                  <c:v>36.700000000000003</c:v>
                </c:pt>
                <c:pt idx="13">
                  <c:v>36.9</c:v>
                </c:pt>
                <c:pt idx="14">
                  <c:v>37</c:v>
                </c:pt>
                <c:pt idx="15">
                  <c:v>37.1</c:v>
                </c:pt>
                <c:pt idx="16">
                  <c:v>38.200000000000003</c:v>
                </c:pt>
                <c:pt idx="17">
                  <c:v>38.200000000000003</c:v>
                </c:pt>
                <c:pt idx="18">
                  <c:v>39.4</c:v>
                </c:pt>
                <c:pt idx="19">
                  <c:v>39.6</c:v>
                </c:pt>
                <c:pt idx="20">
                  <c:v>40</c:v>
                </c:pt>
                <c:pt idx="21">
                  <c:v>40.200000000000003</c:v>
                </c:pt>
                <c:pt idx="22">
                  <c:v>40.4</c:v>
                </c:pt>
                <c:pt idx="23">
                  <c:v>40.5</c:v>
                </c:pt>
                <c:pt idx="24">
                  <c:v>40.9</c:v>
                </c:pt>
                <c:pt idx="25">
                  <c:v>41</c:v>
                </c:pt>
                <c:pt idx="26">
                  <c:v>41.1</c:v>
                </c:pt>
                <c:pt idx="27">
                  <c:v>41.8</c:v>
                </c:pt>
                <c:pt idx="28">
                  <c:v>41.9</c:v>
                </c:pt>
                <c:pt idx="29">
                  <c:v>41.9</c:v>
                </c:pt>
                <c:pt idx="30">
                  <c:v>42.1</c:v>
                </c:pt>
                <c:pt idx="31">
                  <c:v>42.3</c:v>
                </c:pt>
                <c:pt idx="32">
                  <c:v>42.4</c:v>
                </c:pt>
                <c:pt idx="33">
                  <c:v>42.6</c:v>
                </c:pt>
                <c:pt idx="34">
                  <c:v>42.6</c:v>
                </c:pt>
                <c:pt idx="35">
                  <c:v>43</c:v>
                </c:pt>
                <c:pt idx="36">
                  <c:v>43.2</c:v>
                </c:pt>
                <c:pt idx="37">
                  <c:v>43.4</c:v>
                </c:pt>
                <c:pt idx="38">
                  <c:v>43.5</c:v>
                </c:pt>
                <c:pt idx="39">
                  <c:v>44</c:v>
                </c:pt>
                <c:pt idx="40">
                  <c:v>44.3</c:v>
                </c:pt>
                <c:pt idx="41">
                  <c:v>44.9</c:v>
                </c:pt>
                <c:pt idx="42">
                  <c:v>45.2</c:v>
                </c:pt>
                <c:pt idx="43">
                  <c:v>45.4</c:v>
                </c:pt>
                <c:pt idx="44">
                  <c:v>45.6</c:v>
                </c:pt>
                <c:pt idx="45">
                  <c:v>45.9</c:v>
                </c:pt>
                <c:pt idx="46">
                  <c:v>46.3</c:v>
                </c:pt>
                <c:pt idx="47">
                  <c:v>46.6</c:v>
                </c:pt>
                <c:pt idx="48">
                  <c:v>46.6</c:v>
                </c:pt>
                <c:pt idx="49">
                  <c:v>47</c:v>
                </c:pt>
                <c:pt idx="50">
                  <c:v>47</c:v>
                </c:pt>
                <c:pt idx="51">
                  <c:v>47.4</c:v>
                </c:pt>
                <c:pt idx="52">
                  <c:v>48.4</c:v>
                </c:pt>
                <c:pt idx="53">
                  <c:v>48.5</c:v>
                </c:pt>
                <c:pt idx="54">
                  <c:v>50.5</c:v>
                </c:pt>
                <c:pt idx="55">
                  <c:v>50.8</c:v>
                </c:pt>
                <c:pt idx="56">
                  <c:v>51</c:v>
                </c:pt>
                <c:pt idx="57">
                  <c:v>51.5</c:v>
                </c:pt>
                <c:pt idx="58">
                  <c:v>51.6</c:v>
                </c:pt>
                <c:pt idx="59">
                  <c:v>51.9</c:v>
                </c:pt>
                <c:pt idx="60">
                  <c:v>52.1</c:v>
                </c:pt>
                <c:pt idx="61">
                  <c:v>52.3</c:v>
                </c:pt>
                <c:pt idx="62">
                  <c:v>52.9</c:v>
                </c:pt>
                <c:pt idx="63">
                  <c:v>53.1</c:v>
                </c:pt>
                <c:pt idx="64">
                  <c:v>53.4</c:v>
                </c:pt>
                <c:pt idx="65">
                  <c:v>53.9</c:v>
                </c:pt>
                <c:pt idx="66">
                  <c:v>54.2</c:v>
                </c:pt>
                <c:pt idx="67">
                  <c:v>54.6</c:v>
                </c:pt>
                <c:pt idx="68">
                  <c:v>55.2</c:v>
                </c:pt>
                <c:pt idx="69">
                  <c:v>56.1</c:v>
                </c:pt>
                <c:pt idx="70">
                  <c:v>69.618390330532606</c:v>
                </c:pt>
              </c:numCache>
            </c:numRef>
          </c:yVal>
          <c:smooth val="0"/>
          <c:extLst>
            <c:ext xmlns:c16="http://schemas.microsoft.com/office/drawing/2014/chart" uri="{C3380CC4-5D6E-409C-BE32-E72D297353CC}">
              <c16:uniqueId val="{00000001-B798-42E6-8F8A-B66B5D5D0BD9}"/>
            </c:ext>
          </c:extLst>
        </c:ser>
        <c:dLbls>
          <c:showLegendKey val="0"/>
          <c:showVal val="0"/>
          <c:showCatName val="0"/>
          <c:showSerName val="0"/>
          <c:showPercent val="0"/>
          <c:showBubbleSize val="0"/>
        </c:dLbls>
        <c:axId val="1854485615"/>
        <c:axId val="1854502895"/>
      </c:scatterChart>
      <c:valAx>
        <c:axId val="1854485615"/>
        <c:scaling>
          <c:orientation val="minMax"/>
        </c:scaling>
        <c:delete val="0"/>
        <c:axPos val="b"/>
        <c:title>
          <c:tx>
            <c:rich>
              <a:bodyPr/>
              <a:lstStyle/>
              <a:p>
                <a:pPr>
                  <a:defRPr/>
                </a:pPr>
                <a:r>
                  <a:rPr lang="en-SG"/>
                  <a:t>Sample Percentile</a:t>
                </a:r>
              </a:p>
            </c:rich>
          </c:tx>
          <c:overlay val="0"/>
        </c:title>
        <c:numFmt formatCode="General" sourceLinked="1"/>
        <c:majorTickMark val="out"/>
        <c:minorTickMark val="none"/>
        <c:tickLblPos val="nextTo"/>
        <c:crossAx val="1854502895"/>
        <c:crosses val="autoZero"/>
        <c:crossBetween val="midCat"/>
      </c:valAx>
      <c:valAx>
        <c:axId val="1854502895"/>
        <c:scaling>
          <c:orientation val="minMax"/>
        </c:scaling>
        <c:delete val="0"/>
        <c:axPos val="l"/>
        <c:title>
          <c:tx>
            <c:rich>
              <a:bodyPr/>
              <a:lstStyle/>
              <a:p>
                <a:pPr>
                  <a:defRPr/>
                </a:pPr>
                <a:r>
                  <a:rPr lang="en-SG"/>
                  <a:t>Biodiversity_Index</a:t>
                </a:r>
              </a:p>
            </c:rich>
          </c:tx>
          <c:overlay val="0"/>
        </c:title>
        <c:numFmt formatCode="General" sourceLinked="1"/>
        <c:majorTickMark val="out"/>
        <c:minorTickMark val="none"/>
        <c:tickLblPos val="nextTo"/>
        <c:crossAx val="18544856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251460</xdr:colOff>
      <xdr:row>48</xdr:row>
      <xdr:rowOff>148590</xdr:rowOff>
    </xdr:from>
    <xdr:to>
      <xdr:col>21</xdr:col>
      <xdr:colOff>251460</xdr:colOff>
      <xdr:row>58</xdr:row>
      <xdr:rowOff>171450</xdr:rowOff>
    </xdr:to>
    <xdr:graphicFrame macro="">
      <xdr:nvGraphicFramePr>
        <xdr:cNvPr id="2" name="Chart 1">
          <a:extLst>
            <a:ext uri="{FF2B5EF4-FFF2-40B4-BE49-F238E27FC236}">
              <a16:creationId xmlns:a16="http://schemas.microsoft.com/office/drawing/2014/main" id="{F8D8FF28-97B7-43C0-0A26-BB73DB238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251460</xdr:colOff>
      <xdr:row>48</xdr:row>
      <xdr:rowOff>148590</xdr:rowOff>
    </xdr:from>
    <xdr:to>
      <xdr:col>22</xdr:col>
      <xdr:colOff>251460</xdr:colOff>
      <xdr:row>58</xdr:row>
      <xdr:rowOff>163830</xdr:rowOff>
    </xdr:to>
    <xdr:graphicFrame macro="">
      <xdr:nvGraphicFramePr>
        <xdr:cNvPr id="3" name="Chart 2">
          <a:extLst>
            <a:ext uri="{FF2B5EF4-FFF2-40B4-BE49-F238E27FC236}">
              <a16:creationId xmlns:a16="http://schemas.microsoft.com/office/drawing/2014/main" id="{237A17B8-75A6-AABE-8905-3030E52FC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251460</xdr:colOff>
      <xdr:row>48</xdr:row>
      <xdr:rowOff>148590</xdr:rowOff>
    </xdr:from>
    <xdr:to>
      <xdr:col>23</xdr:col>
      <xdr:colOff>251460</xdr:colOff>
      <xdr:row>58</xdr:row>
      <xdr:rowOff>171450</xdr:rowOff>
    </xdr:to>
    <xdr:graphicFrame macro="">
      <xdr:nvGraphicFramePr>
        <xdr:cNvPr id="4" name="Chart 3">
          <a:extLst>
            <a:ext uri="{FF2B5EF4-FFF2-40B4-BE49-F238E27FC236}">
              <a16:creationId xmlns:a16="http://schemas.microsoft.com/office/drawing/2014/main" id="{5F844647-75E3-B1E0-04E2-2E9EFB587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67" totalsRowShown="0">
  <autoFilter ref="A1:B67"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38" totalsRowShown="0">
  <autoFilter ref="A1:C38"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E72" totalsRowShown="0">
  <autoFilter ref="A1:E72" xr:uid="{00000000-0009-0000-0100-000005000000}"/>
  <tableColumns count="5">
    <tableColumn id="1" xr3:uid="{00000000-0010-0000-0200-000001000000}" name="Site_ID"/>
    <tableColumn id="2" xr3:uid="{00000000-0010-0000-0200-000002000000}" name="Management_Regime"/>
    <tableColumn id="5" xr3:uid="{103343D9-5464-44A8-A5AD-0A28D49F56F4}" name="Routine mow" dataDxfId="1">
      <calculatedColumnFormula>IF(tlmdata[[#This Row],[Management_Regime]]=tlmdata[[#Headers],[Routine mow]],1,0)</calculatedColumnFormula>
    </tableColumn>
    <tableColumn id="4" xr3:uid="{F6C8F977-186D-4904-B70E-47970CAEF243}" name="Biodiverse planting" dataDxfId="0">
      <calculatedColumnFormula>IF(tlmdata[[#This Row],[Management_Regime]]=tlmdata[[#Headers],[Biodiverse planting]],1,0)</calculatedColumnFormula>
    </tableColumn>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sqref="A1:B4"/>
    </sheetView>
  </sheetViews>
  <sheetFormatPr defaultColWidth="11.5546875" defaultRowHeight="14.4" x14ac:dyDescent="0.3"/>
  <cols>
    <col min="2" max="2" width="50.33203125" customWidth="1"/>
  </cols>
  <sheetData>
    <row r="1" spans="1:2" x14ac:dyDescent="0.3">
      <c r="A1" s="1" t="s">
        <v>242</v>
      </c>
      <c r="B1" s="1" t="s">
        <v>243</v>
      </c>
    </row>
    <row r="2" spans="1:2" ht="187.2" x14ac:dyDescent="0.3">
      <c r="A2" s="1" t="s">
        <v>244</v>
      </c>
      <c r="B2" s="2" t="s">
        <v>245</v>
      </c>
    </row>
    <row r="3" spans="1:2" ht="187.2" x14ac:dyDescent="0.3">
      <c r="A3" s="1" t="s">
        <v>246</v>
      </c>
      <c r="B3" s="2" t="s">
        <v>247</v>
      </c>
    </row>
    <row r="4" spans="1:2" ht="244.8" x14ac:dyDescent="0.3">
      <c r="A4" s="1" t="s">
        <v>248</v>
      </c>
      <c r="B4" s="2" t="s">
        <v>249</v>
      </c>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7"/>
  <sheetViews>
    <sheetView workbookViewId="0"/>
  </sheetViews>
  <sheetFormatPr defaultColWidth="11.5546875" defaultRowHeight="14.4" x14ac:dyDescent="0.3"/>
  <sheetData>
    <row r="1" spans="1:2" x14ac:dyDescent="0.3">
      <c r="A1" t="s">
        <v>0</v>
      </c>
      <c r="B1" t="s">
        <v>1</v>
      </c>
    </row>
    <row r="2" spans="1:2" x14ac:dyDescent="0.3">
      <c r="A2" t="s">
        <v>2</v>
      </c>
      <c r="B2">
        <v>10.14</v>
      </c>
    </row>
    <row r="3" spans="1:2" x14ac:dyDescent="0.3">
      <c r="A3" t="s">
        <v>3</v>
      </c>
      <c r="B3">
        <v>11.75</v>
      </c>
    </row>
    <row r="4" spans="1:2" x14ac:dyDescent="0.3">
      <c r="A4" t="s">
        <v>4</v>
      </c>
      <c r="B4">
        <v>11.91</v>
      </c>
    </row>
    <row r="5" spans="1:2" x14ac:dyDescent="0.3">
      <c r="A5" t="s">
        <v>5</v>
      </c>
      <c r="B5">
        <v>10.6</v>
      </c>
    </row>
    <row r="6" spans="1:2" x14ac:dyDescent="0.3">
      <c r="A6" t="s">
        <v>6</v>
      </c>
      <c r="B6">
        <v>5.69</v>
      </c>
    </row>
    <row r="7" spans="1:2" x14ac:dyDescent="0.3">
      <c r="A7" t="s">
        <v>7</v>
      </c>
      <c r="B7">
        <v>10.130000000000001</v>
      </c>
    </row>
    <row r="8" spans="1:2" x14ac:dyDescent="0.3">
      <c r="A8" t="s">
        <v>8</v>
      </c>
      <c r="B8">
        <v>7.04</v>
      </c>
    </row>
    <row r="9" spans="1:2" x14ac:dyDescent="0.3">
      <c r="A9" t="s">
        <v>9</v>
      </c>
      <c r="B9">
        <v>7.57</v>
      </c>
    </row>
    <row r="10" spans="1:2" x14ac:dyDescent="0.3">
      <c r="A10" t="s">
        <v>10</v>
      </c>
      <c r="B10">
        <v>10.79</v>
      </c>
    </row>
    <row r="11" spans="1:2" x14ac:dyDescent="0.3">
      <c r="A11" t="s">
        <v>11</v>
      </c>
      <c r="B11">
        <v>9.02</v>
      </c>
    </row>
    <row r="12" spans="1:2" x14ac:dyDescent="0.3">
      <c r="A12" t="s">
        <v>12</v>
      </c>
      <c r="B12">
        <v>9.2799999999999994</v>
      </c>
    </row>
    <row r="13" spans="1:2" x14ac:dyDescent="0.3">
      <c r="A13" t="s">
        <v>11</v>
      </c>
      <c r="B13">
        <v>11.25</v>
      </c>
    </row>
    <row r="14" spans="1:2" x14ac:dyDescent="0.3">
      <c r="A14" t="s">
        <v>13</v>
      </c>
      <c r="B14">
        <v>8.51</v>
      </c>
    </row>
    <row r="15" spans="1:2" x14ac:dyDescent="0.3">
      <c r="A15" t="s">
        <v>14</v>
      </c>
      <c r="B15">
        <v>7.72</v>
      </c>
    </row>
    <row r="16" spans="1:2" x14ac:dyDescent="0.3">
      <c r="A16" t="s">
        <v>15</v>
      </c>
      <c r="B16">
        <v>11.23</v>
      </c>
    </row>
    <row r="17" spans="1:2" x14ac:dyDescent="0.3">
      <c r="A17" t="s">
        <v>16</v>
      </c>
      <c r="B17">
        <v>6.93</v>
      </c>
    </row>
    <row r="18" spans="1:2" x14ac:dyDescent="0.3">
      <c r="A18" t="s">
        <v>17</v>
      </c>
      <c r="B18">
        <v>10.34</v>
      </c>
    </row>
    <row r="19" spans="1:2" x14ac:dyDescent="0.3">
      <c r="A19" t="s">
        <v>18</v>
      </c>
      <c r="B19">
        <v>11.11</v>
      </c>
    </row>
    <row r="20" spans="1:2" x14ac:dyDescent="0.3">
      <c r="A20" t="s">
        <v>19</v>
      </c>
      <c r="B20">
        <v>9.7799999999999994</v>
      </c>
    </row>
    <row r="21" spans="1:2" x14ac:dyDescent="0.3">
      <c r="A21" t="s">
        <v>20</v>
      </c>
      <c r="B21">
        <v>8.6</v>
      </c>
    </row>
    <row r="22" spans="1:2" x14ac:dyDescent="0.3">
      <c r="A22" t="s">
        <v>21</v>
      </c>
      <c r="B22">
        <v>6.91</v>
      </c>
    </row>
    <row r="23" spans="1:2" x14ac:dyDescent="0.3">
      <c r="A23" t="s">
        <v>22</v>
      </c>
      <c r="B23">
        <v>7.51</v>
      </c>
    </row>
    <row r="24" spans="1:2" x14ac:dyDescent="0.3">
      <c r="A24" t="s">
        <v>23</v>
      </c>
      <c r="B24">
        <v>3.48</v>
      </c>
    </row>
    <row r="25" spans="1:2" x14ac:dyDescent="0.3">
      <c r="A25" t="s">
        <v>24</v>
      </c>
      <c r="B25">
        <v>7.57</v>
      </c>
    </row>
    <row r="26" spans="1:2" x14ac:dyDescent="0.3">
      <c r="A26" t="s">
        <v>25</v>
      </c>
      <c r="B26">
        <v>7.66</v>
      </c>
    </row>
    <row r="27" spans="1:2" x14ac:dyDescent="0.3">
      <c r="A27" t="s">
        <v>26</v>
      </c>
      <c r="B27">
        <v>8.3699999999999992</v>
      </c>
    </row>
    <row r="28" spans="1:2" x14ac:dyDescent="0.3">
      <c r="A28" t="s">
        <v>27</v>
      </c>
      <c r="B28">
        <v>10.48</v>
      </c>
    </row>
    <row r="29" spans="1:2" x14ac:dyDescent="0.3">
      <c r="A29" t="s">
        <v>28</v>
      </c>
      <c r="B29">
        <v>7.74</v>
      </c>
    </row>
    <row r="30" spans="1:2" x14ac:dyDescent="0.3">
      <c r="A30" t="s">
        <v>29</v>
      </c>
      <c r="B30">
        <v>8.4600000000000009</v>
      </c>
    </row>
    <row r="31" spans="1:2" x14ac:dyDescent="0.3">
      <c r="A31" t="s">
        <v>30</v>
      </c>
      <c r="B31">
        <v>11.57</v>
      </c>
    </row>
    <row r="32" spans="1:2" x14ac:dyDescent="0.3">
      <c r="A32" t="s">
        <v>31</v>
      </c>
      <c r="B32">
        <v>5.2</v>
      </c>
    </row>
    <row r="33" spans="1:2" x14ac:dyDescent="0.3">
      <c r="A33" t="s">
        <v>32</v>
      </c>
      <c r="B33">
        <v>8.51</v>
      </c>
    </row>
    <row r="34" spans="1:2" x14ac:dyDescent="0.3">
      <c r="A34" t="s">
        <v>33</v>
      </c>
      <c r="B34">
        <v>9.32</v>
      </c>
    </row>
    <row r="35" spans="1:2" x14ac:dyDescent="0.3">
      <c r="A35" t="s">
        <v>34</v>
      </c>
      <c r="B35">
        <v>6.58</v>
      </c>
    </row>
    <row r="36" spans="1:2" x14ac:dyDescent="0.3">
      <c r="A36" t="s">
        <v>35</v>
      </c>
      <c r="B36">
        <v>7.52</v>
      </c>
    </row>
    <row r="37" spans="1:2" x14ac:dyDescent="0.3">
      <c r="A37" t="s">
        <v>36</v>
      </c>
      <c r="B37">
        <v>4.58</v>
      </c>
    </row>
    <row r="38" spans="1:2" x14ac:dyDescent="0.3">
      <c r="A38" t="s">
        <v>37</v>
      </c>
      <c r="B38">
        <v>8.3699999999999992</v>
      </c>
    </row>
    <row r="39" spans="1:2" x14ac:dyDescent="0.3">
      <c r="A39" t="s">
        <v>38</v>
      </c>
      <c r="B39">
        <v>11.23</v>
      </c>
    </row>
    <row r="40" spans="1:2" x14ac:dyDescent="0.3">
      <c r="A40" t="s">
        <v>39</v>
      </c>
      <c r="B40">
        <v>14.84</v>
      </c>
    </row>
    <row r="41" spans="1:2" x14ac:dyDescent="0.3">
      <c r="A41" t="s">
        <v>40</v>
      </c>
      <c r="B41">
        <v>7.45</v>
      </c>
    </row>
    <row r="42" spans="1:2" x14ac:dyDescent="0.3">
      <c r="A42" t="s">
        <v>12</v>
      </c>
      <c r="B42">
        <v>5.86</v>
      </c>
    </row>
    <row r="43" spans="1:2" x14ac:dyDescent="0.3">
      <c r="A43" t="s">
        <v>41</v>
      </c>
      <c r="B43">
        <v>9.24</v>
      </c>
    </row>
    <row r="44" spans="1:2" x14ac:dyDescent="0.3">
      <c r="A44" t="s">
        <v>42</v>
      </c>
      <c r="B44">
        <v>9.2799999999999994</v>
      </c>
    </row>
    <row r="45" spans="1:2" x14ac:dyDescent="0.3">
      <c r="A45" t="s">
        <v>43</v>
      </c>
      <c r="B45">
        <v>12.11</v>
      </c>
    </row>
    <row r="46" spans="1:2" x14ac:dyDescent="0.3">
      <c r="A46" t="s">
        <v>44</v>
      </c>
      <c r="B46">
        <v>7.67</v>
      </c>
    </row>
    <row r="47" spans="1:2" x14ac:dyDescent="0.3">
      <c r="A47" t="s">
        <v>45</v>
      </c>
      <c r="B47">
        <v>8.26</v>
      </c>
    </row>
    <row r="48" spans="1:2" x14ac:dyDescent="0.3">
      <c r="A48" t="s">
        <v>46</v>
      </c>
      <c r="B48">
        <v>12.13</v>
      </c>
    </row>
    <row r="49" spans="1:2" x14ac:dyDescent="0.3">
      <c r="A49" t="s">
        <v>47</v>
      </c>
      <c r="B49">
        <v>9.33</v>
      </c>
    </row>
    <row r="50" spans="1:2" x14ac:dyDescent="0.3">
      <c r="A50" t="s">
        <v>48</v>
      </c>
      <c r="B50">
        <v>7.64</v>
      </c>
    </row>
    <row r="51" spans="1:2" x14ac:dyDescent="0.3">
      <c r="A51" t="s">
        <v>49</v>
      </c>
      <c r="B51">
        <v>4.3</v>
      </c>
    </row>
    <row r="52" spans="1:2" x14ac:dyDescent="0.3">
      <c r="A52" t="s">
        <v>50</v>
      </c>
      <c r="B52">
        <v>11.82</v>
      </c>
    </row>
    <row r="53" spans="1:2" x14ac:dyDescent="0.3">
      <c r="A53" t="s">
        <v>51</v>
      </c>
      <c r="B53">
        <v>8.1199999999999992</v>
      </c>
    </row>
    <row r="54" spans="1:2" x14ac:dyDescent="0.3">
      <c r="A54" t="s">
        <v>52</v>
      </c>
      <c r="B54">
        <v>14.94</v>
      </c>
    </row>
    <row r="55" spans="1:2" x14ac:dyDescent="0.3">
      <c r="A55" t="s">
        <v>53</v>
      </c>
      <c r="B55">
        <v>5.2</v>
      </c>
    </row>
    <row r="56" spans="1:2" x14ac:dyDescent="0.3">
      <c r="A56" t="s">
        <v>54</v>
      </c>
      <c r="B56">
        <v>7.45</v>
      </c>
    </row>
    <row r="57" spans="1:2" x14ac:dyDescent="0.3">
      <c r="A57" t="s">
        <v>55</v>
      </c>
      <c r="B57">
        <v>4.99</v>
      </c>
    </row>
    <row r="58" spans="1:2" x14ac:dyDescent="0.3">
      <c r="A58" t="s">
        <v>56</v>
      </c>
      <c r="B58">
        <v>9.76</v>
      </c>
    </row>
    <row r="59" spans="1:2" x14ac:dyDescent="0.3">
      <c r="A59" t="s">
        <v>57</v>
      </c>
      <c r="B59">
        <v>9.7100000000000009</v>
      </c>
    </row>
    <row r="60" spans="1:2" x14ac:dyDescent="0.3">
      <c r="A60" t="s">
        <v>37</v>
      </c>
      <c r="B60">
        <v>6.85</v>
      </c>
    </row>
    <row r="61" spans="1:2" x14ac:dyDescent="0.3">
      <c r="A61" t="s">
        <v>58</v>
      </c>
      <c r="B61">
        <v>7.92</v>
      </c>
    </row>
    <row r="62" spans="1:2" x14ac:dyDescent="0.3">
      <c r="A62" t="s">
        <v>59</v>
      </c>
      <c r="B62">
        <v>9.3800000000000008</v>
      </c>
    </row>
    <row r="63" spans="1:2" x14ac:dyDescent="0.3">
      <c r="A63" t="s">
        <v>60</v>
      </c>
      <c r="B63">
        <v>8.6</v>
      </c>
    </row>
    <row r="64" spans="1:2" x14ac:dyDescent="0.3">
      <c r="A64" t="s">
        <v>61</v>
      </c>
      <c r="B64">
        <v>8.9</v>
      </c>
    </row>
    <row r="65" spans="1:2" x14ac:dyDescent="0.3">
      <c r="A65" t="s">
        <v>62</v>
      </c>
      <c r="B65">
        <v>8.19</v>
      </c>
    </row>
    <row r="66" spans="1:2" x14ac:dyDescent="0.3">
      <c r="A66" t="s">
        <v>63</v>
      </c>
      <c r="B66">
        <v>8.57</v>
      </c>
    </row>
    <row r="67" spans="1:2" x14ac:dyDescent="0.3">
      <c r="A67" t="s">
        <v>64</v>
      </c>
      <c r="B67">
        <v>10.49</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ColWidth="11.5546875" defaultRowHeight="14.4" x14ac:dyDescent="0.3"/>
  <sheetData>
    <row r="1" spans="1:3" x14ac:dyDescent="0.3">
      <c r="A1" t="s">
        <v>65</v>
      </c>
      <c r="B1" t="s">
        <v>66</v>
      </c>
      <c r="C1" t="s">
        <v>67</v>
      </c>
    </row>
    <row r="2" spans="1:3" x14ac:dyDescent="0.3">
      <c r="A2" t="s">
        <v>68</v>
      </c>
      <c r="B2">
        <v>268.5</v>
      </c>
      <c r="C2">
        <v>233.9</v>
      </c>
    </row>
    <row r="3" spans="1:3" x14ac:dyDescent="0.3">
      <c r="A3" t="s">
        <v>69</v>
      </c>
      <c r="B3">
        <v>207.2</v>
      </c>
      <c r="C3">
        <v>189.3</v>
      </c>
    </row>
    <row r="4" spans="1:3" x14ac:dyDescent="0.3">
      <c r="A4" t="s">
        <v>70</v>
      </c>
      <c r="B4">
        <v>362</v>
      </c>
      <c r="C4">
        <v>351</v>
      </c>
    </row>
    <row r="5" spans="1:3" x14ac:dyDescent="0.3">
      <c r="A5" t="s">
        <v>71</v>
      </c>
      <c r="B5">
        <v>463.7</v>
      </c>
      <c r="C5">
        <v>430.9</v>
      </c>
    </row>
    <row r="6" spans="1:3" x14ac:dyDescent="0.3">
      <c r="A6" t="s">
        <v>72</v>
      </c>
      <c r="B6">
        <v>264.60000000000002</v>
      </c>
      <c r="C6">
        <v>243.6</v>
      </c>
    </row>
    <row r="7" spans="1:3" x14ac:dyDescent="0.3">
      <c r="A7" t="s">
        <v>73</v>
      </c>
      <c r="B7">
        <v>331.3</v>
      </c>
      <c r="C7">
        <v>311.89999999999998</v>
      </c>
    </row>
    <row r="8" spans="1:3" x14ac:dyDescent="0.3">
      <c r="A8" t="s">
        <v>74</v>
      </c>
      <c r="B8">
        <v>225.4</v>
      </c>
      <c r="C8">
        <v>207.3</v>
      </c>
    </row>
    <row r="9" spans="1:3" x14ac:dyDescent="0.3">
      <c r="A9" t="s">
        <v>75</v>
      </c>
      <c r="B9">
        <v>291.39999999999998</v>
      </c>
      <c r="C9">
        <v>262.7</v>
      </c>
    </row>
    <row r="10" spans="1:3" x14ac:dyDescent="0.3">
      <c r="A10" t="s">
        <v>76</v>
      </c>
      <c r="B10">
        <v>212.7</v>
      </c>
      <c r="C10">
        <v>197.4</v>
      </c>
    </row>
    <row r="11" spans="1:3" x14ac:dyDescent="0.3">
      <c r="A11" t="s">
        <v>77</v>
      </c>
      <c r="B11">
        <v>181.8</v>
      </c>
      <c r="C11">
        <v>164.6</v>
      </c>
    </row>
    <row r="12" spans="1:3" x14ac:dyDescent="0.3">
      <c r="A12" t="s">
        <v>78</v>
      </c>
      <c r="B12">
        <v>280.5</v>
      </c>
      <c r="C12">
        <v>248.9</v>
      </c>
    </row>
    <row r="13" spans="1:3" x14ac:dyDescent="0.3">
      <c r="A13" t="s">
        <v>79</v>
      </c>
      <c r="B13">
        <v>152.9</v>
      </c>
      <c r="C13">
        <v>120.6</v>
      </c>
    </row>
    <row r="14" spans="1:3" x14ac:dyDescent="0.3">
      <c r="A14" t="s">
        <v>80</v>
      </c>
      <c r="B14">
        <v>327.5</v>
      </c>
      <c r="C14">
        <v>308.60000000000002</v>
      </c>
    </row>
    <row r="15" spans="1:3" x14ac:dyDescent="0.3">
      <c r="A15" t="s">
        <v>81</v>
      </c>
      <c r="B15">
        <v>151.19999999999999</v>
      </c>
      <c r="C15">
        <v>119.4</v>
      </c>
    </row>
    <row r="16" spans="1:3" x14ac:dyDescent="0.3">
      <c r="A16" t="s">
        <v>82</v>
      </c>
      <c r="B16">
        <v>275.60000000000002</v>
      </c>
      <c r="C16">
        <v>260.60000000000002</v>
      </c>
    </row>
    <row r="17" spans="1:3" x14ac:dyDescent="0.3">
      <c r="A17" t="s">
        <v>83</v>
      </c>
      <c r="B17">
        <v>250</v>
      </c>
      <c r="C17">
        <v>231.6</v>
      </c>
    </row>
    <row r="18" spans="1:3" x14ac:dyDescent="0.3">
      <c r="A18" t="s">
        <v>84</v>
      </c>
      <c r="B18">
        <v>240.4</v>
      </c>
      <c r="C18">
        <v>213.1</v>
      </c>
    </row>
    <row r="19" spans="1:3" x14ac:dyDescent="0.3">
      <c r="A19" t="s">
        <v>85</v>
      </c>
      <c r="B19">
        <v>375.4</v>
      </c>
      <c r="C19">
        <v>357.9</v>
      </c>
    </row>
    <row r="20" spans="1:3" x14ac:dyDescent="0.3">
      <c r="A20" t="s">
        <v>86</v>
      </c>
      <c r="B20">
        <v>329.6</v>
      </c>
      <c r="C20">
        <v>313.2</v>
      </c>
    </row>
    <row r="21" spans="1:3" x14ac:dyDescent="0.3">
      <c r="A21" t="s">
        <v>87</v>
      </c>
      <c r="B21">
        <v>269.2</v>
      </c>
      <c r="C21">
        <v>255.3</v>
      </c>
    </row>
    <row r="22" spans="1:3" x14ac:dyDescent="0.3">
      <c r="A22" t="s">
        <v>88</v>
      </c>
      <c r="B22">
        <v>186.6</v>
      </c>
      <c r="C22">
        <v>165.7</v>
      </c>
    </row>
    <row r="23" spans="1:3" x14ac:dyDescent="0.3">
      <c r="A23" t="s">
        <v>89</v>
      </c>
      <c r="B23">
        <v>244.5</v>
      </c>
      <c r="C23">
        <v>227.7</v>
      </c>
    </row>
    <row r="24" spans="1:3" x14ac:dyDescent="0.3">
      <c r="A24" t="s">
        <v>90</v>
      </c>
      <c r="B24">
        <v>238.5</v>
      </c>
      <c r="C24">
        <v>212.2</v>
      </c>
    </row>
    <row r="25" spans="1:3" x14ac:dyDescent="0.3">
      <c r="A25" t="s">
        <v>91</v>
      </c>
      <c r="B25">
        <v>174.6</v>
      </c>
      <c r="C25">
        <v>175.2</v>
      </c>
    </row>
    <row r="26" spans="1:3" x14ac:dyDescent="0.3">
      <c r="A26" t="s">
        <v>92</v>
      </c>
      <c r="B26">
        <v>365.2</v>
      </c>
      <c r="C26">
        <v>337.7</v>
      </c>
    </row>
    <row r="27" spans="1:3" x14ac:dyDescent="0.3">
      <c r="A27" t="s">
        <v>93</v>
      </c>
      <c r="B27">
        <v>304.3</v>
      </c>
      <c r="C27">
        <v>299.7</v>
      </c>
    </row>
    <row r="28" spans="1:3" x14ac:dyDescent="0.3">
      <c r="A28" t="s">
        <v>94</v>
      </c>
      <c r="B28">
        <v>178.2</v>
      </c>
      <c r="C28">
        <v>137.1</v>
      </c>
    </row>
    <row r="29" spans="1:3" x14ac:dyDescent="0.3">
      <c r="A29" t="s">
        <v>95</v>
      </c>
      <c r="B29">
        <v>281.60000000000002</v>
      </c>
      <c r="C29">
        <v>263.7</v>
      </c>
    </row>
    <row r="30" spans="1:3" x14ac:dyDescent="0.3">
      <c r="A30" t="s">
        <v>96</v>
      </c>
      <c r="B30">
        <v>251.1</v>
      </c>
      <c r="C30">
        <v>230.1</v>
      </c>
    </row>
    <row r="31" spans="1:3" x14ac:dyDescent="0.3">
      <c r="A31" t="s">
        <v>97</v>
      </c>
      <c r="B31">
        <v>234.1</v>
      </c>
      <c r="C31">
        <v>210.2</v>
      </c>
    </row>
    <row r="32" spans="1:3" x14ac:dyDescent="0.3">
      <c r="A32" t="s">
        <v>98</v>
      </c>
      <c r="B32">
        <v>280</v>
      </c>
      <c r="C32">
        <v>242.7</v>
      </c>
    </row>
    <row r="33" spans="1:3" x14ac:dyDescent="0.3">
      <c r="A33" t="s">
        <v>99</v>
      </c>
      <c r="B33">
        <v>228.7</v>
      </c>
      <c r="C33">
        <v>221.2</v>
      </c>
    </row>
    <row r="34" spans="1:3" x14ac:dyDescent="0.3">
      <c r="A34" t="s">
        <v>100</v>
      </c>
      <c r="B34">
        <v>237.6</v>
      </c>
      <c r="C34">
        <v>217.7</v>
      </c>
    </row>
    <row r="35" spans="1:3" x14ac:dyDescent="0.3">
      <c r="A35" t="s">
        <v>101</v>
      </c>
      <c r="B35">
        <v>180.4</v>
      </c>
      <c r="C35">
        <v>158</v>
      </c>
    </row>
    <row r="36" spans="1:3" x14ac:dyDescent="0.3">
      <c r="A36" t="s">
        <v>102</v>
      </c>
      <c r="B36">
        <v>340.04244996729301</v>
      </c>
      <c r="C36">
        <v>214.7</v>
      </c>
    </row>
    <row r="37" spans="1:3" x14ac:dyDescent="0.3">
      <c r="A37" t="s">
        <v>103</v>
      </c>
      <c r="B37">
        <v>242.6</v>
      </c>
      <c r="C37">
        <v>241.8</v>
      </c>
    </row>
    <row r="38" spans="1:3" x14ac:dyDescent="0.3">
      <c r="A38" t="s">
        <v>104</v>
      </c>
      <c r="B38">
        <v>302.2</v>
      </c>
      <c r="C38">
        <v>271.3</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6"/>
  <sheetViews>
    <sheetView workbookViewId="0">
      <selection activeCell="H19" sqref="H19"/>
    </sheetView>
  </sheetViews>
  <sheetFormatPr defaultColWidth="11.5546875" defaultRowHeight="14.4" x14ac:dyDescent="0.3"/>
  <cols>
    <col min="7" max="7" width="17.44140625" bestFit="1" customWidth="1"/>
  </cols>
  <sheetData>
    <row r="1" spans="1:15" x14ac:dyDescent="0.3">
      <c r="A1" t="s">
        <v>105</v>
      </c>
      <c r="B1" t="s">
        <v>106</v>
      </c>
      <c r="C1" t="s">
        <v>109</v>
      </c>
      <c r="D1" t="s">
        <v>113</v>
      </c>
      <c r="E1" t="s">
        <v>107</v>
      </c>
      <c r="G1" t="s">
        <v>251</v>
      </c>
    </row>
    <row r="2" spans="1:15" ht="15" thickBot="1" x14ac:dyDescent="0.35">
      <c r="A2" t="s">
        <v>108</v>
      </c>
      <c r="B2" t="s">
        <v>109</v>
      </c>
      <c r="C2">
        <f>IF(tlmdata[[#This Row],[Management_Regime]]=tlmdata[[#Headers],[Routine mow]],1,0)</f>
        <v>1</v>
      </c>
      <c r="D2">
        <f>IF(tlmdata[[#This Row],[Management_Regime]]=tlmdata[[#Headers],[Biodiverse planting]],1,0)</f>
        <v>0</v>
      </c>
      <c r="E2">
        <v>45.2</v>
      </c>
    </row>
    <row r="3" spans="1:15" x14ac:dyDescent="0.3">
      <c r="A3" t="s">
        <v>110</v>
      </c>
      <c r="B3" t="s">
        <v>111</v>
      </c>
      <c r="C3">
        <f>IF(tlmdata[[#This Row],[Management_Regime]]=tlmdata[[#Headers],[Routine mow]],1,0)</f>
        <v>0</v>
      </c>
      <c r="D3">
        <f>IF(tlmdata[[#This Row],[Management_Regime]]=tlmdata[[#Headers],[Biodiverse planting]],1,0)</f>
        <v>0</v>
      </c>
      <c r="E3">
        <v>33.9</v>
      </c>
      <c r="G3" s="7" t="s">
        <v>252</v>
      </c>
      <c r="H3" s="7"/>
    </row>
    <row r="4" spans="1:15" x14ac:dyDescent="0.3">
      <c r="A4" t="s">
        <v>112</v>
      </c>
      <c r="B4" t="s">
        <v>113</v>
      </c>
      <c r="C4">
        <f>IF(tlmdata[[#This Row],[Management_Regime]]=tlmdata[[#Headers],[Routine mow]],1,0)</f>
        <v>0</v>
      </c>
      <c r="D4">
        <f>IF(tlmdata[[#This Row],[Management_Regime]]=tlmdata[[#Headers],[Biodiverse planting]],1,0)</f>
        <v>1</v>
      </c>
      <c r="E4">
        <v>41.9</v>
      </c>
      <c r="G4" s="4" t="s">
        <v>253</v>
      </c>
      <c r="H4" s="4">
        <v>0.15585793912022697</v>
      </c>
    </row>
    <row r="5" spans="1:15" x14ac:dyDescent="0.3">
      <c r="A5" t="s">
        <v>114</v>
      </c>
      <c r="B5" t="s">
        <v>109</v>
      </c>
      <c r="C5">
        <f>IF(tlmdata[[#This Row],[Management_Regime]]=tlmdata[[#Headers],[Routine mow]],1,0)</f>
        <v>1</v>
      </c>
      <c r="D5">
        <f>IF(tlmdata[[#This Row],[Management_Regime]]=tlmdata[[#Headers],[Biodiverse planting]],1,0)</f>
        <v>0</v>
      </c>
      <c r="E5">
        <v>44</v>
      </c>
      <c r="G5" s="4" t="s">
        <v>254</v>
      </c>
      <c r="H5" s="4">
        <v>2.4291697186804379E-2</v>
      </c>
    </row>
    <row r="6" spans="1:15" x14ac:dyDescent="0.3">
      <c r="A6" t="s">
        <v>115</v>
      </c>
      <c r="B6" t="s">
        <v>109</v>
      </c>
      <c r="C6">
        <f>IF(tlmdata[[#This Row],[Management_Regime]]=tlmdata[[#Headers],[Routine mow]],1,0)</f>
        <v>1</v>
      </c>
      <c r="D6">
        <f>IF(tlmdata[[#This Row],[Management_Regime]]=tlmdata[[#Headers],[Biodiverse planting]],1,0)</f>
        <v>0</v>
      </c>
      <c r="E6">
        <v>29.7</v>
      </c>
      <c r="G6" s="4" t="s">
        <v>255</v>
      </c>
      <c r="H6" s="4">
        <v>-4.4056058371131392E-3</v>
      </c>
    </row>
    <row r="7" spans="1:15" x14ac:dyDescent="0.3">
      <c r="A7" t="s">
        <v>116</v>
      </c>
      <c r="B7" t="s">
        <v>109</v>
      </c>
      <c r="C7">
        <f>IF(tlmdata[[#This Row],[Management_Regime]]=tlmdata[[#Headers],[Routine mow]],1,0)</f>
        <v>1</v>
      </c>
      <c r="D7">
        <f>IF(tlmdata[[#This Row],[Management_Regime]]=tlmdata[[#Headers],[Biodiverse planting]],1,0)</f>
        <v>0</v>
      </c>
      <c r="E7">
        <v>40.4</v>
      </c>
      <c r="G7" s="4" t="s">
        <v>256</v>
      </c>
      <c r="H7" s="4">
        <v>7.7834225809858824</v>
      </c>
    </row>
    <row r="8" spans="1:15" ht="15" thickBot="1" x14ac:dyDescent="0.35">
      <c r="A8" t="s">
        <v>117</v>
      </c>
      <c r="B8" t="s">
        <v>109</v>
      </c>
      <c r="C8">
        <f>IF(tlmdata[[#This Row],[Management_Regime]]=tlmdata[[#Headers],[Routine mow]],1,0)</f>
        <v>1</v>
      </c>
      <c r="D8">
        <f>IF(tlmdata[[#This Row],[Management_Regime]]=tlmdata[[#Headers],[Biodiverse planting]],1,0)</f>
        <v>0</v>
      </c>
      <c r="E8">
        <v>41.9</v>
      </c>
      <c r="G8" s="5" t="s">
        <v>257</v>
      </c>
      <c r="H8" s="5">
        <v>71</v>
      </c>
    </row>
    <row r="9" spans="1:15" x14ac:dyDescent="0.3">
      <c r="A9" t="s">
        <v>118</v>
      </c>
      <c r="B9" t="s">
        <v>113</v>
      </c>
      <c r="C9">
        <f>IF(tlmdata[[#This Row],[Management_Regime]]=tlmdata[[#Headers],[Routine mow]],1,0)</f>
        <v>0</v>
      </c>
      <c r="D9">
        <f>IF(tlmdata[[#This Row],[Management_Regime]]=tlmdata[[#Headers],[Biodiverse planting]],1,0)</f>
        <v>1</v>
      </c>
      <c r="E9">
        <v>55.2</v>
      </c>
    </row>
    <row r="10" spans="1:15" ht="15" thickBot="1" x14ac:dyDescent="0.35">
      <c r="A10" t="s">
        <v>119</v>
      </c>
      <c r="B10" t="s">
        <v>111</v>
      </c>
      <c r="C10">
        <f>IF(tlmdata[[#This Row],[Management_Regime]]=tlmdata[[#Headers],[Routine mow]],1,0)</f>
        <v>0</v>
      </c>
      <c r="D10">
        <f>IF(tlmdata[[#This Row],[Management_Regime]]=tlmdata[[#Headers],[Biodiverse planting]],1,0)</f>
        <v>0</v>
      </c>
      <c r="E10">
        <v>38.200000000000003</v>
      </c>
      <c r="G10" t="s">
        <v>258</v>
      </c>
    </row>
    <row r="11" spans="1:15" x14ac:dyDescent="0.3">
      <c r="A11" t="s">
        <v>120</v>
      </c>
      <c r="B11" t="s">
        <v>111</v>
      </c>
      <c r="C11">
        <f>IF(tlmdata[[#This Row],[Management_Regime]]=tlmdata[[#Headers],[Routine mow]],1,0)</f>
        <v>0</v>
      </c>
      <c r="D11">
        <f>IF(tlmdata[[#This Row],[Management_Regime]]=tlmdata[[#Headers],[Biodiverse planting]],1,0)</f>
        <v>0</v>
      </c>
      <c r="E11">
        <v>52.9</v>
      </c>
      <c r="G11" s="6"/>
      <c r="H11" s="6" t="s">
        <v>263</v>
      </c>
      <c r="I11" s="6" t="s">
        <v>264</v>
      </c>
      <c r="J11" s="6" t="s">
        <v>265</v>
      </c>
      <c r="K11" s="6" t="s">
        <v>266</v>
      </c>
      <c r="L11" s="6" t="s">
        <v>267</v>
      </c>
    </row>
    <row r="12" spans="1:15" x14ac:dyDescent="0.3">
      <c r="A12" t="s">
        <v>121</v>
      </c>
      <c r="B12" t="s">
        <v>113</v>
      </c>
      <c r="C12">
        <f>IF(tlmdata[[#This Row],[Management_Regime]]=tlmdata[[#Headers],[Routine mow]],1,0)</f>
        <v>0</v>
      </c>
      <c r="D12">
        <f>IF(tlmdata[[#This Row],[Management_Regime]]=tlmdata[[#Headers],[Biodiverse planting]],1,0)</f>
        <v>1</v>
      </c>
      <c r="E12">
        <v>40</v>
      </c>
      <c r="G12" s="4" t="s">
        <v>259</v>
      </c>
      <c r="H12" s="4">
        <v>2</v>
      </c>
      <c r="I12" s="4">
        <v>102.56235649822338</v>
      </c>
      <c r="J12" s="4">
        <v>51.28117824911169</v>
      </c>
      <c r="K12" s="4">
        <v>0.84648014367617319</v>
      </c>
      <c r="L12" s="4">
        <v>0.43339113333611912</v>
      </c>
    </row>
    <row r="13" spans="1:15" x14ac:dyDescent="0.3">
      <c r="A13" t="s">
        <v>122</v>
      </c>
      <c r="B13" t="s">
        <v>113</v>
      </c>
      <c r="C13">
        <f>IF(tlmdata[[#This Row],[Management_Regime]]=tlmdata[[#Headers],[Routine mow]],1,0)</f>
        <v>0</v>
      </c>
      <c r="D13">
        <f>IF(tlmdata[[#This Row],[Management_Regime]]=tlmdata[[#Headers],[Biodiverse planting]],1,0)</f>
        <v>1</v>
      </c>
      <c r="E13">
        <v>37</v>
      </c>
      <c r="G13" s="4" t="s">
        <v>260</v>
      </c>
      <c r="H13" s="4">
        <v>68</v>
      </c>
      <c r="I13" s="4">
        <v>4119.5533610456632</v>
      </c>
      <c r="J13" s="4">
        <v>60.581667074200929</v>
      </c>
      <c r="K13" s="4"/>
      <c r="L13" s="4"/>
    </row>
    <row r="14" spans="1:15" ht="15" thickBot="1" x14ac:dyDescent="0.35">
      <c r="A14" t="s">
        <v>123</v>
      </c>
      <c r="B14" t="s">
        <v>111</v>
      </c>
      <c r="C14">
        <f>IF(tlmdata[[#This Row],[Management_Regime]]=tlmdata[[#Headers],[Routine mow]],1,0)</f>
        <v>0</v>
      </c>
      <c r="D14">
        <f>IF(tlmdata[[#This Row],[Management_Regime]]=tlmdata[[#Headers],[Biodiverse planting]],1,0)</f>
        <v>0</v>
      </c>
      <c r="E14">
        <v>41.1</v>
      </c>
      <c r="G14" s="5" t="s">
        <v>261</v>
      </c>
      <c r="H14" s="5">
        <v>70</v>
      </c>
      <c r="I14" s="5">
        <v>4222.1157175438866</v>
      </c>
      <c r="J14" s="5"/>
      <c r="K14" s="5"/>
      <c r="L14" s="5"/>
    </row>
    <row r="15" spans="1:15" ht="15" thickBot="1" x14ac:dyDescent="0.35">
      <c r="A15" t="s">
        <v>124</v>
      </c>
      <c r="B15" t="s">
        <v>109</v>
      </c>
      <c r="C15">
        <f>IF(tlmdata[[#This Row],[Management_Regime]]=tlmdata[[#Headers],[Routine mow]],1,0)</f>
        <v>1</v>
      </c>
      <c r="D15">
        <f>IF(tlmdata[[#This Row],[Management_Regime]]=tlmdata[[#Headers],[Biodiverse planting]],1,0)</f>
        <v>0</v>
      </c>
      <c r="E15">
        <v>45.9</v>
      </c>
    </row>
    <row r="16" spans="1:15" x14ac:dyDescent="0.3">
      <c r="A16" t="s">
        <v>125</v>
      </c>
      <c r="B16" t="s">
        <v>111</v>
      </c>
      <c r="C16">
        <f>IF(tlmdata[[#This Row],[Management_Regime]]=tlmdata[[#Headers],[Routine mow]],1,0)</f>
        <v>0</v>
      </c>
      <c r="D16">
        <f>IF(tlmdata[[#This Row],[Management_Regime]]=tlmdata[[#Headers],[Biodiverse planting]],1,0)</f>
        <v>0</v>
      </c>
      <c r="E16">
        <v>47.4</v>
      </c>
      <c r="G16" s="6"/>
      <c r="H16" s="6" t="s">
        <v>268</v>
      </c>
      <c r="I16" s="6" t="s">
        <v>256</v>
      </c>
      <c r="J16" s="6" t="s">
        <v>269</v>
      </c>
      <c r="K16" s="6" t="s">
        <v>270</v>
      </c>
      <c r="L16" s="6" t="s">
        <v>271</v>
      </c>
      <c r="M16" s="6" t="s">
        <v>272</v>
      </c>
      <c r="N16" s="6" t="s">
        <v>273</v>
      </c>
      <c r="O16" s="6" t="s">
        <v>274</v>
      </c>
    </row>
    <row r="17" spans="1:15" x14ac:dyDescent="0.3">
      <c r="A17" t="s">
        <v>126</v>
      </c>
      <c r="B17" t="s">
        <v>113</v>
      </c>
      <c r="C17">
        <f>IF(tlmdata[[#This Row],[Management_Regime]]=tlmdata[[#Headers],[Routine mow]],1,0)</f>
        <v>0</v>
      </c>
      <c r="D17">
        <f>IF(tlmdata[[#This Row],[Management_Regime]]=tlmdata[[#Headers],[Biodiverse planting]],1,0)</f>
        <v>1</v>
      </c>
      <c r="E17">
        <v>35.5</v>
      </c>
      <c r="G17" s="4" t="s">
        <v>262</v>
      </c>
      <c r="H17" s="4">
        <v>41.990476190476187</v>
      </c>
      <c r="I17" s="4">
        <v>1.6984820544379202</v>
      </c>
      <c r="J17" s="4">
        <v>24.722354929073493</v>
      </c>
      <c r="K17" s="4">
        <v>1.0563383385368451E-35</v>
      </c>
      <c r="L17" s="4">
        <v>38.601208020254184</v>
      </c>
      <c r="M17" s="4">
        <v>45.37974436069819</v>
      </c>
      <c r="N17" s="4">
        <v>38.601208020254184</v>
      </c>
      <c r="O17" s="4">
        <v>45.37974436069819</v>
      </c>
    </row>
    <row r="18" spans="1:15" x14ac:dyDescent="0.3">
      <c r="A18" t="s">
        <v>127</v>
      </c>
      <c r="B18" t="s">
        <v>109</v>
      </c>
      <c r="C18">
        <f>IF(tlmdata[[#This Row],[Management_Regime]]=tlmdata[[#Headers],[Routine mow]],1,0)</f>
        <v>1</v>
      </c>
      <c r="D18">
        <f>IF(tlmdata[[#This Row],[Management_Regime]]=tlmdata[[#Headers],[Biodiverse planting]],1,0)</f>
        <v>0</v>
      </c>
      <c r="E18">
        <v>56.1</v>
      </c>
      <c r="G18" s="4" t="s">
        <v>109</v>
      </c>
      <c r="H18" s="4">
        <v>2.8100985073529499</v>
      </c>
      <c r="I18" s="4">
        <v>2.1858678791995723</v>
      </c>
      <c r="J18" s="4">
        <v>1.2855756443897974</v>
      </c>
      <c r="K18" s="4">
        <v>0.20295215044686291</v>
      </c>
      <c r="L18" s="4">
        <v>-1.5517329338002366</v>
      </c>
      <c r="M18" s="4">
        <v>7.1719299485061363</v>
      </c>
      <c r="N18" s="4">
        <v>-1.5517329338002366</v>
      </c>
      <c r="O18" s="4">
        <v>7.1719299485061363</v>
      </c>
    </row>
    <row r="19" spans="1:15" ht="15" thickBot="1" x14ac:dyDescent="0.35">
      <c r="A19" t="s">
        <v>128</v>
      </c>
      <c r="B19" t="s">
        <v>113</v>
      </c>
      <c r="C19">
        <f>IF(tlmdata[[#This Row],[Management_Regime]]=tlmdata[[#Headers],[Routine mow]],1,0)</f>
        <v>0</v>
      </c>
      <c r="D19">
        <f>IF(tlmdata[[#This Row],[Management_Regime]]=tlmdata[[#Headers],[Biodiverse planting]],1,0)</f>
        <v>1</v>
      </c>
      <c r="E19">
        <v>34.299999999999997</v>
      </c>
      <c r="G19" s="5" t="s">
        <v>113</v>
      </c>
      <c r="H19" s="5">
        <v>1.2706349206349203</v>
      </c>
      <c r="I19" s="5">
        <v>2.5000978900908257</v>
      </c>
      <c r="J19" s="5">
        <v>0.50823406782234415</v>
      </c>
      <c r="K19" s="5">
        <v>0.61293403514539768</v>
      </c>
      <c r="L19" s="5">
        <v>-3.7182327445746228</v>
      </c>
      <c r="M19" s="5">
        <v>6.259502585844464</v>
      </c>
      <c r="N19" s="5">
        <v>-3.7182327445746228</v>
      </c>
      <c r="O19" s="5">
        <v>6.259502585844464</v>
      </c>
    </row>
    <row r="20" spans="1:15" x14ac:dyDescent="0.3">
      <c r="A20" t="s">
        <v>129</v>
      </c>
      <c r="B20" t="s">
        <v>109</v>
      </c>
      <c r="C20">
        <f>IF(tlmdata[[#This Row],[Management_Regime]]=tlmdata[[#Headers],[Routine mow]],1,0)</f>
        <v>1</v>
      </c>
      <c r="D20">
        <f>IF(tlmdata[[#This Row],[Management_Regime]]=tlmdata[[#Headers],[Biodiverse planting]],1,0)</f>
        <v>0</v>
      </c>
      <c r="E20">
        <v>28.5</v>
      </c>
    </row>
    <row r="21" spans="1:15" x14ac:dyDescent="0.3">
      <c r="A21" t="s">
        <v>130</v>
      </c>
      <c r="B21" t="s">
        <v>111</v>
      </c>
      <c r="C21">
        <f>IF(tlmdata[[#This Row],[Management_Regime]]=tlmdata[[#Headers],[Routine mow]],1,0)</f>
        <v>0</v>
      </c>
      <c r="D21">
        <f>IF(tlmdata[[#This Row],[Management_Regime]]=tlmdata[[#Headers],[Biodiverse planting]],1,0)</f>
        <v>0</v>
      </c>
      <c r="E21">
        <v>43</v>
      </c>
    </row>
    <row r="22" spans="1:15" x14ac:dyDescent="0.3">
      <c r="A22" t="s">
        <v>131</v>
      </c>
      <c r="B22" t="s">
        <v>109</v>
      </c>
      <c r="C22">
        <f>IF(tlmdata[[#This Row],[Management_Regime]]=tlmdata[[#Headers],[Routine mow]],1,0)</f>
        <v>1</v>
      </c>
      <c r="D22">
        <f>IF(tlmdata[[#This Row],[Management_Regime]]=tlmdata[[#Headers],[Biodiverse planting]],1,0)</f>
        <v>0</v>
      </c>
      <c r="E22">
        <v>52.3</v>
      </c>
    </row>
    <row r="23" spans="1:15" x14ac:dyDescent="0.3">
      <c r="A23" t="s">
        <v>132</v>
      </c>
      <c r="B23" t="s">
        <v>113</v>
      </c>
      <c r="C23">
        <f>IF(tlmdata[[#This Row],[Management_Regime]]=tlmdata[[#Headers],[Routine mow]],1,0)</f>
        <v>0</v>
      </c>
      <c r="D23">
        <f>IF(tlmdata[[#This Row],[Management_Regime]]=tlmdata[[#Headers],[Biodiverse planting]],1,0)</f>
        <v>1</v>
      </c>
      <c r="E23">
        <v>46.6</v>
      </c>
      <c r="G23" t="s">
        <v>275</v>
      </c>
      <c r="K23" t="s">
        <v>279</v>
      </c>
    </row>
    <row r="24" spans="1:15" ht="15" thickBot="1" x14ac:dyDescent="0.35">
      <c r="A24" t="s">
        <v>133</v>
      </c>
      <c r="B24" t="s">
        <v>111</v>
      </c>
      <c r="C24">
        <f>IF(tlmdata[[#This Row],[Management_Regime]]=tlmdata[[#Headers],[Routine mow]],1,0)</f>
        <v>0</v>
      </c>
      <c r="D24">
        <f>IF(tlmdata[[#This Row],[Management_Regime]]=tlmdata[[#Headers],[Biodiverse planting]],1,0)</f>
        <v>0</v>
      </c>
      <c r="E24">
        <v>45.6</v>
      </c>
    </row>
    <row r="25" spans="1:15" x14ac:dyDescent="0.3">
      <c r="A25" t="s">
        <v>134</v>
      </c>
      <c r="B25" t="s">
        <v>109</v>
      </c>
      <c r="C25">
        <f>IF(tlmdata[[#This Row],[Management_Regime]]=tlmdata[[#Headers],[Routine mow]],1,0)</f>
        <v>1</v>
      </c>
      <c r="D25">
        <f>IF(tlmdata[[#This Row],[Management_Regime]]=tlmdata[[#Headers],[Biodiverse planting]],1,0)</f>
        <v>0</v>
      </c>
      <c r="E25">
        <v>43.5</v>
      </c>
      <c r="G25" s="6" t="s">
        <v>276</v>
      </c>
      <c r="H25" s="6" t="s">
        <v>277</v>
      </c>
      <c r="I25" s="6" t="s">
        <v>278</v>
      </c>
      <c r="K25" s="6" t="s">
        <v>280</v>
      </c>
      <c r="L25" s="6" t="s">
        <v>107</v>
      </c>
    </row>
    <row r="26" spans="1:15" x14ac:dyDescent="0.3">
      <c r="A26" t="s">
        <v>135</v>
      </c>
      <c r="B26" t="s">
        <v>109</v>
      </c>
      <c r="C26">
        <f>IF(tlmdata[[#This Row],[Management_Regime]]=tlmdata[[#Headers],[Routine mow]],1,0)</f>
        <v>1</v>
      </c>
      <c r="D26">
        <f>IF(tlmdata[[#This Row],[Management_Regime]]=tlmdata[[#Headers],[Biodiverse planting]],1,0)</f>
        <v>0</v>
      </c>
      <c r="E26">
        <v>34.9</v>
      </c>
      <c r="G26" s="4">
        <v>1</v>
      </c>
      <c r="H26" s="4">
        <v>44.800574697829134</v>
      </c>
      <c r="I26" s="4">
        <v>0.39942530217086869</v>
      </c>
      <c r="K26" s="4">
        <v>0.70422535211267601</v>
      </c>
      <c r="L26" s="4">
        <v>23.1</v>
      </c>
    </row>
    <row r="27" spans="1:15" x14ac:dyDescent="0.3">
      <c r="A27" t="s">
        <v>136</v>
      </c>
      <c r="B27" t="s">
        <v>111</v>
      </c>
      <c r="C27">
        <f>IF(tlmdata[[#This Row],[Management_Regime]]=tlmdata[[#Headers],[Routine mow]],1,0)</f>
        <v>0</v>
      </c>
      <c r="D27">
        <f>IF(tlmdata[[#This Row],[Management_Regime]]=tlmdata[[#Headers],[Biodiverse planting]],1,0)</f>
        <v>0</v>
      </c>
      <c r="E27">
        <v>39.6</v>
      </c>
      <c r="G27" s="4">
        <v>2</v>
      </c>
      <c r="H27" s="4">
        <v>41.990476190476187</v>
      </c>
      <c r="I27" s="4">
        <v>-8.0904761904761884</v>
      </c>
      <c r="K27" s="4">
        <v>2.112676056338028</v>
      </c>
      <c r="L27" s="4">
        <v>28.5</v>
      </c>
    </row>
    <row r="28" spans="1:15" x14ac:dyDescent="0.3">
      <c r="A28" t="s">
        <v>137</v>
      </c>
      <c r="B28" t="s">
        <v>111</v>
      </c>
      <c r="C28">
        <f>IF(tlmdata[[#This Row],[Management_Regime]]=tlmdata[[#Headers],[Routine mow]],1,0)</f>
        <v>0</v>
      </c>
      <c r="D28">
        <f>IF(tlmdata[[#This Row],[Management_Regime]]=tlmdata[[#Headers],[Biodiverse planting]],1,0)</f>
        <v>0</v>
      </c>
      <c r="E28">
        <v>31.2</v>
      </c>
      <c r="G28" s="4">
        <v>3</v>
      </c>
      <c r="H28" s="4">
        <v>43.261111111111106</v>
      </c>
      <c r="I28" s="4">
        <v>-1.3611111111111072</v>
      </c>
      <c r="K28" s="4">
        <v>3.52112676056338</v>
      </c>
      <c r="L28" s="4">
        <v>29.7</v>
      </c>
    </row>
    <row r="29" spans="1:15" x14ac:dyDescent="0.3">
      <c r="A29" t="s">
        <v>138</v>
      </c>
      <c r="B29" t="s">
        <v>109</v>
      </c>
      <c r="C29">
        <f>IF(tlmdata[[#This Row],[Management_Regime]]=tlmdata[[#Headers],[Routine mow]],1,0)</f>
        <v>1</v>
      </c>
      <c r="D29">
        <f>IF(tlmdata[[#This Row],[Management_Regime]]=tlmdata[[#Headers],[Biodiverse planting]],1,0)</f>
        <v>0</v>
      </c>
      <c r="E29">
        <v>53.1</v>
      </c>
      <c r="G29" s="4">
        <v>4</v>
      </c>
      <c r="H29" s="4">
        <v>44.800574697829134</v>
      </c>
      <c r="I29" s="4">
        <v>-0.80057469782913415</v>
      </c>
      <c r="K29" s="4">
        <v>4.929577464788732</v>
      </c>
      <c r="L29" s="4">
        <v>31.2</v>
      </c>
    </row>
    <row r="30" spans="1:15" x14ac:dyDescent="0.3">
      <c r="A30" t="s">
        <v>139</v>
      </c>
      <c r="B30" t="s">
        <v>111</v>
      </c>
      <c r="C30">
        <f>IF(tlmdata[[#This Row],[Management_Regime]]=tlmdata[[#Headers],[Routine mow]],1,0)</f>
        <v>0</v>
      </c>
      <c r="D30">
        <f>IF(tlmdata[[#This Row],[Management_Regime]]=tlmdata[[#Headers],[Biodiverse planting]],1,0)</f>
        <v>0</v>
      </c>
      <c r="E30">
        <v>43.4</v>
      </c>
      <c r="G30" s="4">
        <v>5</v>
      </c>
      <c r="H30" s="4">
        <v>44.800574697829134</v>
      </c>
      <c r="I30" s="4">
        <v>-15.100574697829135</v>
      </c>
      <c r="K30" s="4">
        <v>6.3380281690140841</v>
      </c>
      <c r="L30" s="4">
        <v>33.1</v>
      </c>
    </row>
    <row r="31" spans="1:15" x14ac:dyDescent="0.3">
      <c r="A31" t="s">
        <v>140</v>
      </c>
      <c r="B31" t="s">
        <v>111</v>
      </c>
      <c r="C31">
        <f>IF(tlmdata[[#This Row],[Management_Regime]]=tlmdata[[#Headers],[Routine mow]],1,0)</f>
        <v>0</v>
      </c>
      <c r="D31">
        <f>IF(tlmdata[[#This Row],[Management_Regime]]=tlmdata[[#Headers],[Biodiverse planting]],1,0)</f>
        <v>0</v>
      </c>
      <c r="E31">
        <v>44.3</v>
      </c>
      <c r="G31" s="4">
        <v>6</v>
      </c>
      <c r="H31" s="4">
        <v>44.800574697829134</v>
      </c>
      <c r="I31" s="4">
        <v>-4.4005746978291356</v>
      </c>
      <c r="K31" s="4">
        <v>7.7464788732394361</v>
      </c>
      <c r="L31" s="4">
        <v>33.6</v>
      </c>
    </row>
    <row r="32" spans="1:15" x14ac:dyDescent="0.3">
      <c r="A32" t="s">
        <v>141</v>
      </c>
      <c r="B32" t="s">
        <v>109</v>
      </c>
      <c r="C32">
        <f>IF(tlmdata[[#This Row],[Management_Regime]]=tlmdata[[#Headers],[Routine mow]],1,0)</f>
        <v>1</v>
      </c>
      <c r="D32">
        <f>IF(tlmdata[[#This Row],[Management_Regime]]=tlmdata[[#Headers],[Biodiverse planting]],1,0)</f>
        <v>0</v>
      </c>
      <c r="E32">
        <v>41</v>
      </c>
      <c r="G32" s="4">
        <v>7</v>
      </c>
      <c r="H32" s="4">
        <v>44.800574697829134</v>
      </c>
      <c r="I32" s="4">
        <v>-2.9005746978291356</v>
      </c>
      <c r="K32" s="4">
        <v>9.1549295774647881</v>
      </c>
      <c r="L32" s="4">
        <v>33.9</v>
      </c>
    </row>
    <row r="33" spans="1:12" x14ac:dyDescent="0.3">
      <c r="A33" t="s">
        <v>142</v>
      </c>
      <c r="B33" t="s">
        <v>109</v>
      </c>
      <c r="C33">
        <f>IF(tlmdata[[#This Row],[Management_Regime]]=tlmdata[[#Headers],[Routine mow]],1,0)</f>
        <v>1</v>
      </c>
      <c r="D33">
        <f>IF(tlmdata[[#This Row],[Management_Regime]]=tlmdata[[#Headers],[Biodiverse planting]],1,0)</f>
        <v>0</v>
      </c>
      <c r="E33">
        <v>48.4</v>
      </c>
      <c r="G33" s="4">
        <v>8</v>
      </c>
      <c r="H33" s="4">
        <v>43.261111111111106</v>
      </c>
      <c r="I33" s="4">
        <v>11.938888888888897</v>
      </c>
      <c r="K33" s="4">
        <v>10.56338028169014</v>
      </c>
      <c r="L33" s="4">
        <v>34.299999999999997</v>
      </c>
    </row>
    <row r="34" spans="1:12" x14ac:dyDescent="0.3">
      <c r="A34" t="s">
        <v>143</v>
      </c>
      <c r="B34" t="s">
        <v>109</v>
      </c>
      <c r="C34">
        <f>IF(tlmdata[[#This Row],[Management_Regime]]=tlmdata[[#Headers],[Routine mow]],1,0)</f>
        <v>1</v>
      </c>
      <c r="D34">
        <f>IF(tlmdata[[#This Row],[Management_Regime]]=tlmdata[[#Headers],[Biodiverse planting]],1,0)</f>
        <v>0</v>
      </c>
      <c r="E34">
        <v>51.5</v>
      </c>
      <c r="G34" s="4">
        <v>9</v>
      </c>
      <c r="H34" s="4">
        <v>41.990476190476187</v>
      </c>
      <c r="I34" s="4">
        <v>-3.7904761904761841</v>
      </c>
      <c r="K34" s="4">
        <v>11.971830985915492</v>
      </c>
      <c r="L34" s="4">
        <v>34.9</v>
      </c>
    </row>
    <row r="35" spans="1:12" x14ac:dyDescent="0.3">
      <c r="A35" t="s">
        <v>144</v>
      </c>
      <c r="B35" t="s">
        <v>113</v>
      </c>
      <c r="C35">
        <f>IF(tlmdata[[#This Row],[Management_Regime]]=tlmdata[[#Headers],[Routine mow]],1,0)</f>
        <v>0</v>
      </c>
      <c r="D35">
        <f>IF(tlmdata[[#This Row],[Management_Regime]]=tlmdata[[#Headers],[Biodiverse planting]],1,0)</f>
        <v>1</v>
      </c>
      <c r="E35">
        <v>54.6</v>
      </c>
      <c r="G35" s="4">
        <v>10</v>
      </c>
      <c r="H35" s="4">
        <v>41.990476190476187</v>
      </c>
      <c r="I35" s="4">
        <v>10.909523809523812</v>
      </c>
      <c r="K35" s="4">
        <v>13.380281690140844</v>
      </c>
      <c r="L35" s="4">
        <v>34.9</v>
      </c>
    </row>
    <row r="36" spans="1:12" x14ac:dyDescent="0.3">
      <c r="A36" t="s">
        <v>145</v>
      </c>
      <c r="B36" t="s">
        <v>111</v>
      </c>
      <c r="C36">
        <f>IF(tlmdata[[#This Row],[Management_Regime]]=tlmdata[[#Headers],[Routine mow]],1,0)</f>
        <v>0</v>
      </c>
      <c r="D36">
        <f>IF(tlmdata[[#This Row],[Management_Regime]]=tlmdata[[#Headers],[Biodiverse planting]],1,0)</f>
        <v>0</v>
      </c>
      <c r="E36">
        <v>42.6</v>
      </c>
      <c r="G36" s="4">
        <v>11</v>
      </c>
      <c r="H36" s="4">
        <v>43.261111111111106</v>
      </c>
      <c r="I36" s="4">
        <v>-3.2611111111111057</v>
      </c>
      <c r="K36" s="4">
        <v>14.788732394366196</v>
      </c>
      <c r="L36" s="4">
        <v>35.5</v>
      </c>
    </row>
    <row r="37" spans="1:12" x14ac:dyDescent="0.3">
      <c r="A37" t="s">
        <v>146</v>
      </c>
      <c r="B37" t="s">
        <v>109</v>
      </c>
      <c r="C37">
        <f>IF(tlmdata[[#This Row],[Management_Regime]]=tlmdata[[#Headers],[Routine mow]],1,0)</f>
        <v>1</v>
      </c>
      <c r="D37">
        <f>IF(tlmdata[[#This Row],[Management_Regime]]=tlmdata[[#Headers],[Biodiverse planting]],1,0)</f>
        <v>0</v>
      </c>
      <c r="E37">
        <v>42.3</v>
      </c>
      <c r="G37" s="4">
        <v>12</v>
      </c>
      <c r="H37" s="4">
        <v>43.261111111111106</v>
      </c>
      <c r="I37" s="4">
        <v>-6.2611111111111057</v>
      </c>
      <c r="K37" s="4">
        <v>16.197183098591548</v>
      </c>
      <c r="L37" s="4">
        <v>35.700000000000003</v>
      </c>
    </row>
    <row r="38" spans="1:12" x14ac:dyDescent="0.3">
      <c r="A38" t="s">
        <v>147</v>
      </c>
      <c r="B38" t="s">
        <v>113</v>
      </c>
      <c r="C38">
        <f>IF(tlmdata[[#This Row],[Management_Regime]]=tlmdata[[#Headers],[Routine mow]],1,0)</f>
        <v>0</v>
      </c>
      <c r="D38">
        <f>IF(tlmdata[[#This Row],[Management_Regime]]=tlmdata[[#Headers],[Biodiverse planting]],1,0)</f>
        <v>1</v>
      </c>
      <c r="E38">
        <v>51.6</v>
      </c>
      <c r="G38" s="4">
        <v>13</v>
      </c>
      <c r="H38" s="4">
        <v>41.990476190476187</v>
      </c>
      <c r="I38" s="4">
        <v>-0.89047619047618554</v>
      </c>
      <c r="K38" s="4">
        <v>17.6056338028169</v>
      </c>
      <c r="L38" s="4">
        <v>36.700000000000003</v>
      </c>
    </row>
    <row r="39" spans="1:12" x14ac:dyDescent="0.3">
      <c r="A39" t="s">
        <v>148</v>
      </c>
      <c r="B39" t="s">
        <v>109</v>
      </c>
      <c r="C39">
        <f>IF(tlmdata[[#This Row],[Management_Regime]]=tlmdata[[#Headers],[Routine mow]],1,0)</f>
        <v>1</v>
      </c>
      <c r="D39">
        <f>IF(tlmdata[[#This Row],[Management_Regime]]=tlmdata[[#Headers],[Biodiverse planting]],1,0)</f>
        <v>0</v>
      </c>
      <c r="E39">
        <v>47</v>
      </c>
      <c r="G39" s="4">
        <v>14</v>
      </c>
      <c r="H39" s="4">
        <v>44.800574697829134</v>
      </c>
      <c r="I39" s="4">
        <v>1.0994253021708644</v>
      </c>
      <c r="K39" s="4">
        <v>19.014084507042252</v>
      </c>
      <c r="L39" s="4">
        <v>36.9</v>
      </c>
    </row>
    <row r="40" spans="1:12" x14ac:dyDescent="0.3">
      <c r="A40" t="s">
        <v>149</v>
      </c>
      <c r="B40" t="s">
        <v>109</v>
      </c>
      <c r="C40">
        <f>IF(tlmdata[[#This Row],[Management_Regime]]=tlmdata[[#Headers],[Routine mow]],1,0)</f>
        <v>1</v>
      </c>
      <c r="D40">
        <f>IF(tlmdata[[#This Row],[Management_Regime]]=tlmdata[[#Headers],[Biodiverse planting]],1,0)</f>
        <v>0</v>
      </c>
      <c r="E40">
        <v>50.5</v>
      </c>
      <c r="G40" s="4">
        <v>15</v>
      </c>
      <c r="H40" s="4">
        <v>41.990476190476187</v>
      </c>
      <c r="I40" s="4">
        <v>5.4095238095238116</v>
      </c>
      <c r="K40" s="4">
        <v>20.422535211267604</v>
      </c>
      <c r="L40" s="4">
        <v>37</v>
      </c>
    </row>
    <row r="41" spans="1:12" x14ac:dyDescent="0.3">
      <c r="A41" t="s">
        <v>150</v>
      </c>
      <c r="B41" t="s">
        <v>109</v>
      </c>
      <c r="C41">
        <f>IF(tlmdata[[#This Row],[Management_Regime]]=tlmdata[[#Headers],[Routine mow]],1,0)</f>
        <v>1</v>
      </c>
      <c r="D41">
        <f>IF(tlmdata[[#This Row],[Management_Regime]]=tlmdata[[#Headers],[Biodiverse planting]],1,0)</f>
        <v>0</v>
      </c>
      <c r="E41">
        <v>69.618390330532606</v>
      </c>
      <c r="G41" s="4">
        <v>16</v>
      </c>
      <c r="H41" s="4">
        <v>43.261111111111106</v>
      </c>
      <c r="I41" s="4">
        <v>-7.7611111111111057</v>
      </c>
      <c r="K41" s="4">
        <v>21.830985915492956</v>
      </c>
      <c r="L41" s="4">
        <v>37.1</v>
      </c>
    </row>
    <row r="42" spans="1:12" x14ac:dyDescent="0.3">
      <c r="A42" t="s">
        <v>151</v>
      </c>
      <c r="B42" t="s">
        <v>113</v>
      </c>
      <c r="C42">
        <f>IF(tlmdata[[#This Row],[Management_Regime]]=tlmdata[[#Headers],[Routine mow]],1,0)</f>
        <v>0</v>
      </c>
      <c r="D42">
        <f>IF(tlmdata[[#This Row],[Management_Regime]]=tlmdata[[#Headers],[Biodiverse planting]],1,0)</f>
        <v>1</v>
      </c>
      <c r="E42">
        <v>38.200000000000003</v>
      </c>
      <c r="G42" s="4">
        <v>17</v>
      </c>
      <c r="H42" s="4">
        <v>44.800574697829134</v>
      </c>
      <c r="I42" s="4">
        <v>11.299425302170867</v>
      </c>
      <c r="K42" s="4">
        <v>23.239436619718308</v>
      </c>
      <c r="L42" s="4">
        <v>38.200000000000003</v>
      </c>
    </row>
    <row r="43" spans="1:12" x14ac:dyDescent="0.3">
      <c r="A43" t="s">
        <v>152</v>
      </c>
      <c r="B43" t="s">
        <v>111</v>
      </c>
      <c r="C43">
        <f>IF(tlmdata[[#This Row],[Management_Regime]]=tlmdata[[#Headers],[Routine mow]],1,0)</f>
        <v>0</v>
      </c>
      <c r="D43">
        <f>IF(tlmdata[[#This Row],[Management_Regime]]=tlmdata[[#Headers],[Biodiverse planting]],1,0)</f>
        <v>0</v>
      </c>
      <c r="E43">
        <v>37.1</v>
      </c>
      <c r="G43" s="4">
        <v>18</v>
      </c>
      <c r="H43" s="4">
        <v>43.261111111111106</v>
      </c>
      <c r="I43" s="4">
        <v>-8.9611111111111086</v>
      </c>
      <c r="K43" s="4">
        <v>24.64788732394366</v>
      </c>
      <c r="L43" s="4">
        <v>38.200000000000003</v>
      </c>
    </row>
    <row r="44" spans="1:12" x14ac:dyDescent="0.3">
      <c r="A44" t="s">
        <v>153</v>
      </c>
      <c r="B44" t="s">
        <v>109</v>
      </c>
      <c r="C44">
        <f>IF(tlmdata[[#This Row],[Management_Regime]]=tlmdata[[#Headers],[Routine mow]],1,0)</f>
        <v>1</v>
      </c>
      <c r="D44">
        <f>IF(tlmdata[[#This Row],[Management_Regime]]=tlmdata[[#Headers],[Biodiverse planting]],1,0)</f>
        <v>0</v>
      </c>
      <c r="E44">
        <v>51.9</v>
      </c>
      <c r="G44" s="4">
        <v>19</v>
      </c>
      <c r="H44" s="4">
        <v>44.800574697829134</v>
      </c>
      <c r="I44" s="4">
        <v>-16.300574697829134</v>
      </c>
      <c r="K44" s="4">
        <v>26.056338028169012</v>
      </c>
      <c r="L44" s="4">
        <v>39.4</v>
      </c>
    </row>
    <row r="45" spans="1:12" x14ac:dyDescent="0.3">
      <c r="A45" t="s">
        <v>154</v>
      </c>
      <c r="B45" t="s">
        <v>113</v>
      </c>
      <c r="C45">
        <f>IF(tlmdata[[#This Row],[Management_Regime]]=tlmdata[[#Headers],[Routine mow]],1,0)</f>
        <v>0</v>
      </c>
      <c r="D45">
        <f>IF(tlmdata[[#This Row],[Management_Regime]]=tlmdata[[#Headers],[Biodiverse planting]],1,0)</f>
        <v>1</v>
      </c>
      <c r="E45">
        <v>42.6</v>
      </c>
      <c r="G45" s="4">
        <v>20</v>
      </c>
      <c r="H45" s="4">
        <v>41.990476190476187</v>
      </c>
      <c r="I45" s="4">
        <v>1.009523809523813</v>
      </c>
      <c r="K45" s="4">
        <v>27.464788732394364</v>
      </c>
      <c r="L45" s="4">
        <v>39.6</v>
      </c>
    </row>
    <row r="46" spans="1:12" x14ac:dyDescent="0.3">
      <c r="A46" t="s">
        <v>155</v>
      </c>
      <c r="B46" t="s">
        <v>111</v>
      </c>
      <c r="C46">
        <f>IF(tlmdata[[#This Row],[Management_Regime]]=tlmdata[[#Headers],[Routine mow]],1,0)</f>
        <v>0</v>
      </c>
      <c r="D46">
        <f>IF(tlmdata[[#This Row],[Management_Regime]]=tlmdata[[#Headers],[Biodiverse planting]],1,0)</f>
        <v>0</v>
      </c>
      <c r="E46">
        <v>46.6</v>
      </c>
      <c r="G46" s="4">
        <v>21</v>
      </c>
      <c r="H46" s="4">
        <v>44.800574697829134</v>
      </c>
      <c r="I46" s="4">
        <v>7.499425302170863</v>
      </c>
      <c r="K46" s="4">
        <v>28.873239436619716</v>
      </c>
      <c r="L46" s="4">
        <v>40</v>
      </c>
    </row>
    <row r="47" spans="1:12" x14ac:dyDescent="0.3">
      <c r="A47" t="s">
        <v>156</v>
      </c>
      <c r="B47" t="s">
        <v>109</v>
      </c>
      <c r="C47">
        <f>IF(tlmdata[[#This Row],[Management_Regime]]=tlmdata[[#Headers],[Routine mow]],1,0)</f>
        <v>1</v>
      </c>
      <c r="D47">
        <f>IF(tlmdata[[#This Row],[Management_Regime]]=tlmdata[[#Headers],[Biodiverse planting]],1,0)</f>
        <v>0</v>
      </c>
      <c r="E47">
        <v>40.9</v>
      </c>
      <c r="G47" s="4">
        <v>22</v>
      </c>
      <c r="H47" s="4">
        <v>43.261111111111106</v>
      </c>
      <c r="I47" s="4">
        <v>3.3388888888888957</v>
      </c>
      <c r="K47" s="4">
        <v>30.281690140845068</v>
      </c>
      <c r="L47" s="4">
        <v>40.200000000000003</v>
      </c>
    </row>
    <row r="48" spans="1:12" x14ac:dyDescent="0.3">
      <c r="A48" t="s">
        <v>157</v>
      </c>
      <c r="B48" t="s">
        <v>109</v>
      </c>
      <c r="C48">
        <f>IF(tlmdata[[#This Row],[Management_Regime]]=tlmdata[[#Headers],[Routine mow]],1,0)</f>
        <v>1</v>
      </c>
      <c r="D48">
        <f>IF(tlmdata[[#This Row],[Management_Regime]]=tlmdata[[#Headers],[Biodiverse planting]],1,0)</f>
        <v>0</v>
      </c>
      <c r="E48">
        <v>23.1</v>
      </c>
      <c r="G48" s="4">
        <v>23</v>
      </c>
      <c r="H48" s="4">
        <v>41.990476190476187</v>
      </c>
      <c r="I48" s="4">
        <v>3.6095238095238145</v>
      </c>
      <c r="K48" s="4">
        <v>31.69014084507042</v>
      </c>
      <c r="L48" s="4">
        <v>40.4</v>
      </c>
    </row>
    <row r="49" spans="1:12" x14ac:dyDescent="0.3">
      <c r="A49" t="s">
        <v>158</v>
      </c>
      <c r="B49" t="s">
        <v>111</v>
      </c>
      <c r="C49">
        <f>IF(tlmdata[[#This Row],[Management_Regime]]=tlmdata[[#Headers],[Routine mow]],1,0)</f>
        <v>0</v>
      </c>
      <c r="D49">
        <f>IF(tlmdata[[#This Row],[Management_Regime]]=tlmdata[[#Headers],[Biodiverse planting]],1,0)</f>
        <v>0</v>
      </c>
      <c r="E49">
        <v>35.700000000000003</v>
      </c>
      <c r="G49" s="4">
        <v>24</v>
      </c>
      <c r="H49" s="4">
        <v>44.800574697829134</v>
      </c>
      <c r="I49" s="4">
        <v>-1.3005746978291342</v>
      </c>
      <c r="K49" s="4">
        <v>33.098591549295776</v>
      </c>
      <c r="L49" s="4">
        <v>40.5</v>
      </c>
    </row>
    <row r="50" spans="1:12" x14ac:dyDescent="0.3">
      <c r="A50" t="s">
        <v>159</v>
      </c>
      <c r="B50" t="s">
        <v>109</v>
      </c>
      <c r="C50">
        <f>IF(tlmdata[[#This Row],[Management_Regime]]=tlmdata[[#Headers],[Routine mow]],1,0)</f>
        <v>1</v>
      </c>
      <c r="D50">
        <f>IF(tlmdata[[#This Row],[Management_Regime]]=tlmdata[[#Headers],[Biodiverse planting]],1,0)</f>
        <v>0</v>
      </c>
      <c r="E50">
        <v>50.8</v>
      </c>
      <c r="G50" s="4">
        <v>25</v>
      </c>
      <c r="H50" s="4">
        <v>44.800574697829134</v>
      </c>
      <c r="I50" s="4">
        <v>-9.9005746978291356</v>
      </c>
      <c r="K50" s="4">
        <v>34.507042253521121</v>
      </c>
      <c r="L50" s="4">
        <v>40.9</v>
      </c>
    </row>
    <row r="51" spans="1:12" x14ac:dyDescent="0.3">
      <c r="A51" t="s">
        <v>160</v>
      </c>
      <c r="B51" t="s">
        <v>109</v>
      </c>
      <c r="C51">
        <f>IF(tlmdata[[#This Row],[Management_Regime]]=tlmdata[[#Headers],[Routine mow]],1,0)</f>
        <v>1</v>
      </c>
      <c r="D51">
        <f>IF(tlmdata[[#This Row],[Management_Regime]]=tlmdata[[#Headers],[Biodiverse planting]],1,0)</f>
        <v>0</v>
      </c>
      <c r="E51">
        <v>43.2</v>
      </c>
      <c r="G51" s="4">
        <v>26</v>
      </c>
      <c r="H51" s="4">
        <v>41.990476190476187</v>
      </c>
      <c r="I51" s="4">
        <v>-2.3904761904761855</v>
      </c>
      <c r="K51" s="4">
        <v>35.91549295774648</v>
      </c>
      <c r="L51" s="4">
        <v>41</v>
      </c>
    </row>
    <row r="52" spans="1:12" x14ac:dyDescent="0.3">
      <c r="A52" t="s">
        <v>161</v>
      </c>
      <c r="B52" t="s">
        <v>113</v>
      </c>
      <c r="C52">
        <f>IF(tlmdata[[#This Row],[Management_Regime]]=tlmdata[[#Headers],[Routine mow]],1,0)</f>
        <v>0</v>
      </c>
      <c r="D52">
        <f>IF(tlmdata[[#This Row],[Management_Regime]]=tlmdata[[#Headers],[Biodiverse planting]],1,0)</f>
        <v>1</v>
      </c>
      <c r="E52">
        <v>36.700000000000003</v>
      </c>
      <c r="G52" s="4">
        <v>27</v>
      </c>
      <c r="H52" s="4">
        <v>41.990476190476187</v>
      </c>
      <c r="I52" s="4">
        <v>-10.790476190476188</v>
      </c>
      <c r="K52" s="4">
        <v>37.323943661971825</v>
      </c>
      <c r="L52" s="4">
        <v>41.1</v>
      </c>
    </row>
    <row r="53" spans="1:12" x14ac:dyDescent="0.3">
      <c r="A53" t="s">
        <v>162</v>
      </c>
      <c r="B53" t="s">
        <v>109</v>
      </c>
      <c r="C53">
        <f>IF(tlmdata[[#This Row],[Management_Regime]]=tlmdata[[#Headers],[Routine mow]],1,0)</f>
        <v>1</v>
      </c>
      <c r="D53">
        <f>IF(tlmdata[[#This Row],[Management_Regime]]=tlmdata[[#Headers],[Biodiverse planting]],1,0)</f>
        <v>0</v>
      </c>
      <c r="E53">
        <v>48.5</v>
      </c>
      <c r="G53" s="4">
        <v>28</v>
      </c>
      <c r="H53" s="4">
        <v>44.800574697829134</v>
      </c>
      <c r="I53" s="4">
        <v>8.2994253021708673</v>
      </c>
      <c r="K53" s="4">
        <v>38.732394366197184</v>
      </c>
      <c r="L53" s="4">
        <v>41.8</v>
      </c>
    </row>
    <row r="54" spans="1:12" x14ac:dyDescent="0.3">
      <c r="A54" t="s">
        <v>163</v>
      </c>
      <c r="B54" t="s">
        <v>109</v>
      </c>
      <c r="C54">
        <f>IF(tlmdata[[#This Row],[Management_Regime]]=tlmdata[[#Headers],[Routine mow]],1,0)</f>
        <v>1</v>
      </c>
      <c r="D54">
        <f>IF(tlmdata[[#This Row],[Management_Regime]]=tlmdata[[#Headers],[Biodiverse planting]],1,0)</f>
        <v>0</v>
      </c>
      <c r="E54">
        <v>54.2</v>
      </c>
      <c r="G54" s="4">
        <v>29</v>
      </c>
      <c r="H54" s="4">
        <v>41.990476190476187</v>
      </c>
      <c r="I54" s="4">
        <v>1.4095238095238116</v>
      </c>
      <c r="K54" s="4">
        <v>40.140845070422529</v>
      </c>
      <c r="L54" s="4">
        <v>41.9</v>
      </c>
    </row>
    <row r="55" spans="1:12" x14ac:dyDescent="0.3">
      <c r="A55" t="s">
        <v>164</v>
      </c>
      <c r="B55" t="s">
        <v>109</v>
      </c>
      <c r="C55">
        <f>IF(tlmdata[[#This Row],[Management_Regime]]=tlmdata[[#Headers],[Routine mow]],1,0)</f>
        <v>1</v>
      </c>
      <c r="D55">
        <f>IF(tlmdata[[#This Row],[Management_Regime]]=tlmdata[[#Headers],[Biodiverse planting]],1,0)</f>
        <v>0</v>
      </c>
      <c r="E55">
        <v>44.9</v>
      </c>
      <c r="G55" s="4">
        <v>30</v>
      </c>
      <c r="H55" s="4">
        <v>41.990476190476187</v>
      </c>
      <c r="I55" s="4">
        <v>2.3095238095238102</v>
      </c>
      <c r="K55" s="4">
        <v>41.549295774647888</v>
      </c>
      <c r="L55" s="4">
        <v>41.9</v>
      </c>
    </row>
    <row r="56" spans="1:12" x14ac:dyDescent="0.3">
      <c r="A56" t="s">
        <v>165</v>
      </c>
      <c r="B56" t="s">
        <v>113</v>
      </c>
      <c r="C56">
        <f>IF(tlmdata[[#This Row],[Management_Regime]]=tlmdata[[#Headers],[Routine mow]],1,0)</f>
        <v>0</v>
      </c>
      <c r="D56">
        <f>IF(tlmdata[[#This Row],[Management_Regime]]=tlmdata[[#Headers],[Biodiverse planting]],1,0)</f>
        <v>1</v>
      </c>
      <c r="E56">
        <v>36.9</v>
      </c>
      <c r="G56" s="4">
        <v>31</v>
      </c>
      <c r="H56" s="4">
        <v>44.800574697829134</v>
      </c>
      <c r="I56" s="4">
        <v>-3.8005746978291342</v>
      </c>
      <c r="K56" s="4">
        <v>42.957746478873233</v>
      </c>
      <c r="L56" s="4">
        <v>42.1</v>
      </c>
    </row>
    <row r="57" spans="1:12" x14ac:dyDescent="0.3">
      <c r="A57" t="s">
        <v>166</v>
      </c>
      <c r="B57" t="s">
        <v>109</v>
      </c>
      <c r="C57">
        <f>IF(tlmdata[[#This Row],[Management_Regime]]=tlmdata[[#Headers],[Routine mow]],1,0)</f>
        <v>1</v>
      </c>
      <c r="D57">
        <f>IF(tlmdata[[#This Row],[Management_Regime]]=tlmdata[[#Headers],[Biodiverse planting]],1,0)</f>
        <v>0</v>
      </c>
      <c r="E57">
        <v>46.3</v>
      </c>
      <c r="G57" s="4">
        <v>32</v>
      </c>
      <c r="H57" s="4">
        <v>44.800574697829134</v>
      </c>
      <c r="I57" s="4">
        <v>3.5994253021708644</v>
      </c>
      <c r="K57" s="4">
        <v>44.366197183098592</v>
      </c>
      <c r="L57" s="4">
        <v>42.3</v>
      </c>
    </row>
    <row r="58" spans="1:12" x14ac:dyDescent="0.3">
      <c r="A58" t="s">
        <v>167</v>
      </c>
      <c r="B58" t="s">
        <v>111</v>
      </c>
      <c r="C58">
        <f>IF(tlmdata[[#This Row],[Management_Regime]]=tlmdata[[#Headers],[Routine mow]],1,0)</f>
        <v>0</v>
      </c>
      <c r="D58">
        <f>IF(tlmdata[[#This Row],[Management_Regime]]=tlmdata[[#Headers],[Biodiverse planting]],1,0)</f>
        <v>0</v>
      </c>
      <c r="E58">
        <v>39.4</v>
      </c>
      <c r="G58" s="4">
        <v>33</v>
      </c>
      <c r="H58" s="4">
        <v>44.800574697829134</v>
      </c>
      <c r="I58" s="4">
        <v>6.6994253021708658</v>
      </c>
      <c r="K58" s="4">
        <v>45.774647887323937</v>
      </c>
      <c r="L58" s="4">
        <v>42.4</v>
      </c>
    </row>
    <row r="59" spans="1:12" x14ac:dyDescent="0.3">
      <c r="A59" t="s">
        <v>168</v>
      </c>
      <c r="B59" t="s">
        <v>111</v>
      </c>
      <c r="C59">
        <f>IF(tlmdata[[#This Row],[Management_Regime]]=tlmdata[[#Headers],[Routine mow]],1,0)</f>
        <v>0</v>
      </c>
      <c r="D59">
        <f>IF(tlmdata[[#This Row],[Management_Regime]]=tlmdata[[#Headers],[Biodiverse planting]],1,0)</f>
        <v>0</v>
      </c>
      <c r="E59">
        <v>52.1</v>
      </c>
      <c r="G59" s="4">
        <v>34</v>
      </c>
      <c r="H59" s="4">
        <v>43.261111111111106</v>
      </c>
      <c r="I59" s="4">
        <v>11.338888888888896</v>
      </c>
      <c r="K59" s="4">
        <v>47.183098591549296</v>
      </c>
      <c r="L59" s="4">
        <v>42.6</v>
      </c>
    </row>
    <row r="60" spans="1:12" x14ac:dyDescent="0.3">
      <c r="A60" t="s">
        <v>169</v>
      </c>
      <c r="B60" t="s">
        <v>109</v>
      </c>
      <c r="C60">
        <f>IF(tlmdata[[#This Row],[Management_Regime]]=tlmdata[[#Headers],[Routine mow]],1,0)</f>
        <v>1</v>
      </c>
      <c r="D60">
        <f>IF(tlmdata[[#This Row],[Management_Regime]]=tlmdata[[#Headers],[Biodiverse planting]],1,0)</f>
        <v>0</v>
      </c>
      <c r="E60">
        <v>34.9</v>
      </c>
      <c r="G60" s="4">
        <v>35</v>
      </c>
      <c r="H60" s="4">
        <v>41.990476190476187</v>
      </c>
      <c r="I60" s="4">
        <v>0.60952380952381446</v>
      </c>
      <c r="K60" s="4">
        <v>48.591549295774641</v>
      </c>
      <c r="L60" s="4">
        <v>42.6</v>
      </c>
    </row>
    <row r="61" spans="1:12" x14ac:dyDescent="0.3">
      <c r="A61" t="s">
        <v>170</v>
      </c>
      <c r="B61" t="s">
        <v>111</v>
      </c>
      <c r="C61">
        <f>IF(tlmdata[[#This Row],[Management_Regime]]=tlmdata[[#Headers],[Routine mow]],1,0)</f>
        <v>0</v>
      </c>
      <c r="D61">
        <f>IF(tlmdata[[#This Row],[Management_Regime]]=tlmdata[[#Headers],[Biodiverse planting]],1,0)</f>
        <v>0</v>
      </c>
      <c r="E61">
        <v>53.4</v>
      </c>
      <c r="G61" s="4">
        <v>36</v>
      </c>
      <c r="H61" s="4">
        <v>44.800574697829134</v>
      </c>
      <c r="I61" s="4">
        <v>-2.500574697829137</v>
      </c>
      <c r="K61" s="4">
        <v>50</v>
      </c>
      <c r="L61" s="4">
        <v>43</v>
      </c>
    </row>
    <row r="62" spans="1:12" x14ac:dyDescent="0.3">
      <c r="A62" t="s">
        <v>171</v>
      </c>
      <c r="B62" t="s">
        <v>113</v>
      </c>
      <c r="C62">
        <f>IF(tlmdata[[#This Row],[Management_Regime]]=tlmdata[[#Headers],[Routine mow]],1,0)</f>
        <v>0</v>
      </c>
      <c r="D62">
        <f>IF(tlmdata[[#This Row],[Management_Regime]]=tlmdata[[#Headers],[Biodiverse planting]],1,0)</f>
        <v>1</v>
      </c>
      <c r="E62">
        <v>42.4</v>
      </c>
      <c r="G62" s="4">
        <v>37</v>
      </c>
      <c r="H62" s="4">
        <v>43.261111111111106</v>
      </c>
      <c r="I62" s="4">
        <v>8.3388888888888957</v>
      </c>
      <c r="K62" s="4">
        <v>51.408450704225345</v>
      </c>
      <c r="L62" s="4">
        <v>43.2</v>
      </c>
    </row>
    <row r="63" spans="1:12" x14ac:dyDescent="0.3">
      <c r="A63" t="s">
        <v>172</v>
      </c>
      <c r="B63" t="s">
        <v>113</v>
      </c>
      <c r="C63">
        <f>IF(tlmdata[[#This Row],[Management_Regime]]=tlmdata[[#Headers],[Routine mow]],1,0)</f>
        <v>0</v>
      </c>
      <c r="D63">
        <f>IF(tlmdata[[#This Row],[Management_Regime]]=tlmdata[[#Headers],[Biodiverse planting]],1,0)</f>
        <v>1</v>
      </c>
      <c r="E63">
        <v>51</v>
      </c>
      <c r="G63" s="4">
        <v>38</v>
      </c>
      <c r="H63" s="4">
        <v>44.800574697829134</v>
      </c>
      <c r="I63" s="4">
        <v>2.1994253021708658</v>
      </c>
      <c r="K63" s="4">
        <v>52.816901408450704</v>
      </c>
      <c r="L63" s="4">
        <v>43.4</v>
      </c>
    </row>
    <row r="64" spans="1:12" x14ac:dyDescent="0.3">
      <c r="A64" t="s">
        <v>173</v>
      </c>
      <c r="B64" t="s">
        <v>113</v>
      </c>
      <c r="C64">
        <f>IF(tlmdata[[#This Row],[Management_Regime]]=tlmdata[[#Headers],[Routine mow]],1,0)</f>
        <v>0</v>
      </c>
      <c r="D64">
        <f>IF(tlmdata[[#This Row],[Management_Regime]]=tlmdata[[#Headers],[Biodiverse planting]],1,0)</f>
        <v>1</v>
      </c>
      <c r="E64">
        <v>41.8</v>
      </c>
      <c r="G64" s="4">
        <v>39</v>
      </c>
      <c r="H64" s="4">
        <v>44.800574697829134</v>
      </c>
      <c r="I64" s="4">
        <v>5.6994253021708658</v>
      </c>
      <c r="K64" s="4">
        <v>54.225352112676049</v>
      </c>
      <c r="L64" s="4">
        <v>43.5</v>
      </c>
    </row>
    <row r="65" spans="1:12" x14ac:dyDescent="0.3">
      <c r="A65" t="s">
        <v>174</v>
      </c>
      <c r="B65" t="s">
        <v>109</v>
      </c>
      <c r="C65">
        <f>IF(tlmdata[[#This Row],[Management_Regime]]=tlmdata[[#Headers],[Routine mow]],1,0)</f>
        <v>1</v>
      </c>
      <c r="D65">
        <f>IF(tlmdata[[#This Row],[Management_Regime]]=tlmdata[[#Headers],[Biodiverse planting]],1,0)</f>
        <v>0</v>
      </c>
      <c r="E65">
        <v>42.1</v>
      </c>
      <c r="G65" s="4">
        <v>40</v>
      </c>
      <c r="H65" s="4">
        <v>44.800574697829134</v>
      </c>
      <c r="I65" s="4">
        <v>24.817815632703471</v>
      </c>
      <c r="K65" s="4">
        <v>55.633802816901408</v>
      </c>
      <c r="L65" s="4">
        <v>44</v>
      </c>
    </row>
    <row r="66" spans="1:12" x14ac:dyDescent="0.3">
      <c r="A66" t="s">
        <v>175</v>
      </c>
      <c r="B66" t="s">
        <v>111</v>
      </c>
      <c r="C66">
        <f>IF(tlmdata[[#This Row],[Management_Regime]]=tlmdata[[#Headers],[Routine mow]],1,0)</f>
        <v>0</v>
      </c>
      <c r="D66">
        <f>IF(tlmdata[[#This Row],[Management_Regime]]=tlmdata[[#Headers],[Biodiverse planting]],1,0)</f>
        <v>0</v>
      </c>
      <c r="E66">
        <v>40.200000000000003</v>
      </c>
      <c r="G66" s="4">
        <v>41</v>
      </c>
      <c r="H66" s="4">
        <v>43.261111111111106</v>
      </c>
      <c r="I66" s="4">
        <v>-5.0611111111111029</v>
      </c>
      <c r="K66" s="4">
        <v>57.042253521126753</v>
      </c>
      <c r="L66" s="4">
        <v>44.3</v>
      </c>
    </row>
    <row r="67" spans="1:12" x14ac:dyDescent="0.3">
      <c r="A67" t="s">
        <v>176</v>
      </c>
      <c r="B67" t="s">
        <v>113</v>
      </c>
      <c r="C67">
        <f>IF(tlmdata[[#This Row],[Management_Regime]]=tlmdata[[#Headers],[Routine mow]],1,0)</f>
        <v>0</v>
      </c>
      <c r="D67">
        <f>IF(tlmdata[[#This Row],[Management_Regime]]=tlmdata[[#Headers],[Biodiverse planting]],1,0)</f>
        <v>1</v>
      </c>
      <c r="E67">
        <v>47</v>
      </c>
      <c r="G67" s="4">
        <v>42</v>
      </c>
      <c r="H67" s="4">
        <v>41.990476190476187</v>
      </c>
      <c r="I67" s="4">
        <v>-4.8904761904761855</v>
      </c>
      <c r="K67" s="4">
        <v>58.450704225352112</v>
      </c>
      <c r="L67" s="4">
        <v>44.9</v>
      </c>
    </row>
    <row r="68" spans="1:12" x14ac:dyDescent="0.3">
      <c r="A68" t="s">
        <v>177</v>
      </c>
      <c r="B68" t="s">
        <v>111</v>
      </c>
      <c r="C68">
        <f>IF(tlmdata[[#This Row],[Management_Regime]]=tlmdata[[#Headers],[Routine mow]],1,0)</f>
        <v>0</v>
      </c>
      <c r="D68">
        <f>IF(tlmdata[[#This Row],[Management_Regime]]=tlmdata[[#Headers],[Biodiverse planting]],1,0)</f>
        <v>0</v>
      </c>
      <c r="E68">
        <v>33.6</v>
      </c>
      <c r="G68" s="4">
        <v>43</v>
      </c>
      <c r="H68" s="4">
        <v>44.800574697829134</v>
      </c>
      <c r="I68" s="4">
        <v>7.0994253021708644</v>
      </c>
      <c r="K68" s="4">
        <v>59.859154929577457</v>
      </c>
      <c r="L68" s="4">
        <v>45.2</v>
      </c>
    </row>
    <row r="69" spans="1:12" x14ac:dyDescent="0.3">
      <c r="A69" t="s">
        <v>178</v>
      </c>
      <c r="B69" t="s">
        <v>111</v>
      </c>
      <c r="C69">
        <f>IF(tlmdata[[#This Row],[Management_Regime]]=tlmdata[[#Headers],[Routine mow]],1,0)</f>
        <v>0</v>
      </c>
      <c r="D69">
        <f>IF(tlmdata[[#This Row],[Management_Regime]]=tlmdata[[#Headers],[Biodiverse planting]],1,0)</f>
        <v>0</v>
      </c>
      <c r="E69">
        <v>40.5</v>
      </c>
      <c r="G69" s="4">
        <v>44</v>
      </c>
      <c r="H69" s="4">
        <v>43.261111111111106</v>
      </c>
      <c r="I69" s="4">
        <v>-0.66111111111110432</v>
      </c>
      <c r="K69" s="4">
        <v>61.267605633802816</v>
      </c>
      <c r="L69" s="4">
        <v>45.4</v>
      </c>
    </row>
    <row r="70" spans="1:12" x14ac:dyDescent="0.3">
      <c r="A70" t="s">
        <v>179</v>
      </c>
      <c r="B70" t="s">
        <v>113</v>
      </c>
      <c r="C70">
        <f>IF(tlmdata[[#This Row],[Management_Regime]]=tlmdata[[#Headers],[Routine mow]],1,0)</f>
        <v>0</v>
      </c>
      <c r="D70">
        <f>IF(tlmdata[[#This Row],[Management_Regime]]=tlmdata[[#Headers],[Biodiverse planting]],1,0)</f>
        <v>1</v>
      </c>
      <c r="E70">
        <v>45.4</v>
      </c>
      <c r="G70" s="4">
        <v>45</v>
      </c>
      <c r="H70" s="4">
        <v>41.990476190476187</v>
      </c>
      <c r="I70" s="4">
        <v>4.6095238095238145</v>
      </c>
      <c r="K70" s="4">
        <v>62.676056338028161</v>
      </c>
      <c r="L70" s="4">
        <v>45.6</v>
      </c>
    </row>
    <row r="71" spans="1:12" x14ac:dyDescent="0.3">
      <c r="A71" t="s">
        <v>180</v>
      </c>
      <c r="B71" t="s">
        <v>109</v>
      </c>
      <c r="C71">
        <f>IF(tlmdata[[#This Row],[Management_Regime]]=tlmdata[[#Headers],[Routine mow]],1,0)</f>
        <v>1</v>
      </c>
      <c r="D71">
        <f>IF(tlmdata[[#This Row],[Management_Regime]]=tlmdata[[#Headers],[Biodiverse planting]],1,0)</f>
        <v>0</v>
      </c>
      <c r="E71">
        <v>53.9</v>
      </c>
      <c r="G71" s="4">
        <v>46</v>
      </c>
      <c r="H71" s="4">
        <v>44.800574697829134</v>
      </c>
      <c r="I71" s="4">
        <v>-3.9005746978291356</v>
      </c>
      <c r="K71" s="4">
        <v>64.08450704225352</v>
      </c>
      <c r="L71" s="4">
        <v>45.9</v>
      </c>
    </row>
    <row r="72" spans="1:12" x14ac:dyDescent="0.3">
      <c r="A72" t="s">
        <v>181</v>
      </c>
      <c r="B72" t="s">
        <v>109</v>
      </c>
      <c r="C72">
        <f>IF(tlmdata[[#This Row],[Management_Regime]]=tlmdata[[#Headers],[Routine mow]],1,0)</f>
        <v>1</v>
      </c>
      <c r="D72">
        <f>IF(tlmdata[[#This Row],[Management_Regime]]=tlmdata[[#Headers],[Biodiverse planting]],1,0)</f>
        <v>0</v>
      </c>
      <c r="E72">
        <v>33.1</v>
      </c>
      <c r="G72" s="4">
        <v>47</v>
      </c>
      <c r="H72" s="4">
        <v>44.800574697829134</v>
      </c>
      <c r="I72" s="4">
        <v>-21.700574697829133</v>
      </c>
      <c r="K72" s="4">
        <v>65.492957746478865</v>
      </c>
      <c r="L72" s="4">
        <v>46.3</v>
      </c>
    </row>
    <row r="73" spans="1:12" x14ac:dyDescent="0.3">
      <c r="G73" s="4">
        <v>48</v>
      </c>
      <c r="H73" s="4">
        <v>41.990476190476187</v>
      </c>
      <c r="I73" s="4">
        <v>-6.2904761904761841</v>
      </c>
      <c r="K73" s="4">
        <v>66.901408450704224</v>
      </c>
      <c r="L73" s="4">
        <v>46.6</v>
      </c>
    </row>
    <row r="74" spans="1:12" x14ac:dyDescent="0.3">
      <c r="G74" s="4">
        <v>49</v>
      </c>
      <c r="H74" s="4">
        <v>44.800574697829134</v>
      </c>
      <c r="I74" s="4">
        <v>5.999425302170863</v>
      </c>
      <c r="K74" s="4">
        <v>68.309859154929569</v>
      </c>
      <c r="L74" s="4">
        <v>46.6</v>
      </c>
    </row>
    <row r="75" spans="1:12" x14ac:dyDescent="0.3">
      <c r="G75" s="4">
        <v>50</v>
      </c>
      <c r="H75" s="4">
        <v>44.800574697829134</v>
      </c>
      <c r="I75" s="4">
        <v>-1.6005746978291313</v>
      </c>
      <c r="K75" s="4">
        <v>69.718309859154914</v>
      </c>
      <c r="L75" s="4">
        <v>47</v>
      </c>
    </row>
    <row r="76" spans="1:12" x14ac:dyDescent="0.3">
      <c r="G76" s="4">
        <v>51</v>
      </c>
      <c r="H76" s="4">
        <v>43.261111111111106</v>
      </c>
      <c r="I76" s="4">
        <v>-6.5611111111111029</v>
      </c>
      <c r="K76" s="4">
        <v>71.126760563380273</v>
      </c>
      <c r="L76" s="4">
        <v>47</v>
      </c>
    </row>
    <row r="77" spans="1:12" x14ac:dyDescent="0.3">
      <c r="G77" s="4">
        <v>52</v>
      </c>
      <c r="H77" s="4">
        <v>44.800574697829134</v>
      </c>
      <c r="I77" s="4">
        <v>3.6994253021708658</v>
      </c>
      <c r="K77" s="4">
        <v>72.535211267605632</v>
      </c>
      <c r="L77" s="4">
        <v>47.4</v>
      </c>
    </row>
    <row r="78" spans="1:12" x14ac:dyDescent="0.3">
      <c r="G78" s="4">
        <v>53</v>
      </c>
      <c r="H78" s="4">
        <v>44.800574697829134</v>
      </c>
      <c r="I78" s="4">
        <v>9.3994253021708687</v>
      </c>
      <c r="K78" s="4">
        <v>73.943661971830977</v>
      </c>
      <c r="L78" s="4">
        <v>48.4</v>
      </c>
    </row>
    <row r="79" spans="1:12" x14ac:dyDescent="0.3">
      <c r="G79" s="4">
        <v>54</v>
      </c>
      <c r="H79" s="4">
        <v>44.800574697829134</v>
      </c>
      <c r="I79" s="4">
        <v>9.9425302170864427E-2</v>
      </c>
      <c r="K79" s="4">
        <v>75.352112676056322</v>
      </c>
      <c r="L79" s="4">
        <v>48.5</v>
      </c>
    </row>
    <row r="80" spans="1:12" x14ac:dyDescent="0.3">
      <c r="G80" s="4">
        <v>55</v>
      </c>
      <c r="H80" s="4">
        <v>43.261111111111106</v>
      </c>
      <c r="I80" s="4">
        <v>-6.3611111111111072</v>
      </c>
      <c r="K80" s="4">
        <v>76.760563380281681</v>
      </c>
      <c r="L80" s="4">
        <v>50.5</v>
      </c>
    </row>
    <row r="81" spans="7:12" x14ac:dyDescent="0.3">
      <c r="G81" s="4">
        <v>56</v>
      </c>
      <c r="H81" s="4">
        <v>44.800574697829134</v>
      </c>
      <c r="I81" s="4">
        <v>1.499425302170863</v>
      </c>
      <c r="K81" s="4">
        <v>78.16901408450704</v>
      </c>
      <c r="L81" s="4">
        <v>50.8</v>
      </c>
    </row>
    <row r="82" spans="7:12" x14ac:dyDescent="0.3">
      <c r="G82" s="4">
        <v>57</v>
      </c>
      <c r="H82" s="4">
        <v>41.990476190476187</v>
      </c>
      <c r="I82" s="4">
        <v>-2.5904761904761884</v>
      </c>
      <c r="K82" s="4">
        <v>79.577464788732385</v>
      </c>
      <c r="L82" s="4">
        <v>51</v>
      </c>
    </row>
    <row r="83" spans="7:12" x14ac:dyDescent="0.3">
      <c r="G83" s="4">
        <v>58</v>
      </c>
      <c r="H83" s="4">
        <v>41.990476190476187</v>
      </c>
      <c r="I83" s="4">
        <v>10.109523809523814</v>
      </c>
      <c r="K83" s="4">
        <v>80.98591549295773</v>
      </c>
      <c r="L83" s="4">
        <v>51.5</v>
      </c>
    </row>
    <row r="84" spans="7:12" x14ac:dyDescent="0.3">
      <c r="G84" s="4">
        <v>59</v>
      </c>
      <c r="H84" s="4">
        <v>44.800574697829134</v>
      </c>
      <c r="I84" s="4">
        <v>-9.9005746978291356</v>
      </c>
      <c r="K84" s="4">
        <v>82.394366197183089</v>
      </c>
      <c r="L84" s="4">
        <v>51.6</v>
      </c>
    </row>
    <row r="85" spans="7:12" x14ac:dyDescent="0.3">
      <c r="G85" s="4">
        <v>60</v>
      </c>
      <c r="H85" s="4">
        <v>41.990476190476187</v>
      </c>
      <c r="I85" s="4">
        <v>11.409523809523812</v>
      </c>
      <c r="K85" s="4">
        <v>83.802816901408448</v>
      </c>
      <c r="L85" s="4">
        <v>51.9</v>
      </c>
    </row>
    <row r="86" spans="7:12" x14ac:dyDescent="0.3">
      <c r="G86" s="4">
        <v>61</v>
      </c>
      <c r="H86" s="4">
        <v>43.261111111111106</v>
      </c>
      <c r="I86" s="4">
        <v>-0.86111111111110716</v>
      </c>
      <c r="K86" s="4">
        <v>85.211267605633793</v>
      </c>
      <c r="L86" s="4">
        <v>52.1</v>
      </c>
    </row>
    <row r="87" spans="7:12" x14ac:dyDescent="0.3">
      <c r="G87" s="4">
        <v>62</v>
      </c>
      <c r="H87" s="4">
        <v>43.261111111111106</v>
      </c>
      <c r="I87" s="4">
        <v>7.7388888888888943</v>
      </c>
      <c r="K87" s="4">
        <v>86.619718309859138</v>
      </c>
      <c r="L87" s="4">
        <v>52.3</v>
      </c>
    </row>
    <row r="88" spans="7:12" x14ac:dyDescent="0.3">
      <c r="G88" s="4">
        <v>63</v>
      </c>
      <c r="H88" s="4">
        <v>43.261111111111106</v>
      </c>
      <c r="I88" s="4">
        <v>-1.4611111111111086</v>
      </c>
      <c r="K88" s="4">
        <v>88.028169014084497</v>
      </c>
      <c r="L88" s="4">
        <v>52.9</v>
      </c>
    </row>
    <row r="89" spans="7:12" x14ac:dyDescent="0.3">
      <c r="G89" s="4">
        <v>64</v>
      </c>
      <c r="H89" s="4">
        <v>44.800574697829134</v>
      </c>
      <c r="I89" s="4">
        <v>-2.7005746978291327</v>
      </c>
      <c r="K89" s="4">
        <v>89.436619718309856</v>
      </c>
      <c r="L89" s="4">
        <v>53.1</v>
      </c>
    </row>
    <row r="90" spans="7:12" x14ac:dyDescent="0.3">
      <c r="G90" s="4">
        <v>65</v>
      </c>
      <c r="H90" s="4">
        <v>41.990476190476187</v>
      </c>
      <c r="I90" s="4">
        <v>-1.7904761904761841</v>
      </c>
      <c r="K90" s="4">
        <v>90.845070422535201</v>
      </c>
      <c r="L90" s="4">
        <v>53.4</v>
      </c>
    </row>
    <row r="91" spans="7:12" x14ac:dyDescent="0.3">
      <c r="G91" s="4">
        <v>66</v>
      </c>
      <c r="H91" s="4">
        <v>43.261111111111106</v>
      </c>
      <c r="I91" s="4">
        <v>3.7388888888888943</v>
      </c>
      <c r="K91" s="4">
        <v>92.253521126760546</v>
      </c>
      <c r="L91" s="4">
        <v>53.9</v>
      </c>
    </row>
    <row r="92" spans="7:12" x14ac:dyDescent="0.3">
      <c r="G92" s="4">
        <v>67</v>
      </c>
      <c r="H92" s="4">
        <v>41.990476190476187</v>
      </c>
      <c r="I92" s="4">
        <v>-8.3904761904761855</v>
      </c>
      <c r="K92" s="4">
        <v>93.661971830985905</v>
      </c>
      <c r="L92" s="4">
        <v>54.2</v>
      </c>
    </row>
    <row r="93" spans="7:12" x14ac:dyDescent="0.3">
      <c r="G93" s="4">
        <v>68</v>
      </c>
      <c r="H93" s="4">
        <v>41.990476190476187</v>
      </c>
      <c r="I93" s="4">
        <v>-1.490476190476187</v>
      </c>
      <c r="K93" s="4">
        <v>95.070422535211264</v>
      </c>
      <c r="L93" s="4">
        <v>54.6</v>
      </c>
    </row>
    <row r="94" spans="7:12" x14ac:dyDescent="0.3">
      <c r="G94" s="4">
        <v>69</v>
      </c>
      <c r="H94" s="4">
        <v>43.261111111111106</v>
      </c>
      <c r="I94" s="4">
        <v>2.1388888888888928</v>
      </c>
      <c r="K94" s="4">
        <v>96.478873239436609</v>
      </c>
      <c r="L94" s="4">
        <v>55.2</v>
      </c>
    </row>
    <row r="95" spans="7:12" x14ac:dyDescent="0.3">
      <c r="G95" s="4">
        <v>70</v>
      </c>
      <c r="H95" s="4">
        <v>44.800574697829134</v>
      </c>
      <c r="I95" s="4">
        <v>9.0994253021708644</v>
      </c>
      <c r="K95" s="4">
        <v>97.887323943661954</v>
      </c>
      <c r="L95" s="4">
        <v>56.1</v>
      </c>
    </row>
    <row r="96" spans="7:12" ht="15" thickBot="1" x14ac:dyDescent="0.35">
      <c r="G96" s="5">
        <v>71</v>
      </c>
      <c r="H96" s="5">
        <v>44.800574697829134</v>
      </c>
      <c r="I96" s="5">
        <v>-11.700574697829133</v>
      </c>
      <c r="K96" s="5">
        <v>99.295774647887313</v>
      </c>
      <c r="L96" s="5">
        <v>69.618390330532606</v>
      </c>
    </row>
  </sheetData>
  <sortState xmlns:xlrd2="http://schemas.microsoft.com/office/spreadsheetml/2017/richdata2" ref="L26:L96">
    <sortCondition ref="L26"/>
  </sortState>
  <pageMargins left="0.7" right="0.7" top="0.75" bottom="0.75" header="0.3" footer="0.3"/>
  <pageSetup paperSize="9" orientation="portrait" horizontalDpi="300" verticalDpi="300"/>
  <headerFooter>
    <oddHeader>&amp;C&amp;"Aptos"&amp;10&amp;K000000 Official (Closed) \ Sensitive Normal&amp;1#_x000D_</oddHeader>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election sqref="A1:D11"/>
    </sheetView>
  </sheetViews>
  <sheetFormatPr defaultColWidth="11.5546875" defaultRowHeight="14.4" x14ac:dyDescent="0.3"/>
  <cols>
    <col min="4" max="4" width="12" bestFit="1" customWidth="1"/>
  </cols>
  <sheetData>
    <row r="1" spans="1:4" x14ac:dyDescent="0.3">
      <c r="A1" t="s">
        <v>182</v>
      </c>
      <c r="B1" t="s">
        <v>183</v>
      </c>
      <c r="C1" t="s">
        <v>184</v>
      </c>
      <c r="D1" t="s">
        <v>185</v>
      </c>
    </row>
    <row r="2" spans="1:4" x14ac:dyDescent="0.3">
      <c r="A2">
        <v>1</v>
      </c>
      <c r="B2" t="s">
        <v>186</v>
      </c>
      <c r="C2" t="s">
        <v>187</v>
      </c>
      <c r="D2" t="s">
        <v>200</v>
      </c>
    </row>
    <row r="3" spans="1:4" x14ac:dyDescent="0.3">
      <c r="A3">
        <v>2</v>
      </c>
      <c r="B3" t="s">
        <v>188</v>
      </c>
      <c r="C3" t="s">
        <v>187</v>
      </c>
      <c r="D3" t="s">
        <v>201</v>
      </c>
    </row>
    <row r="4" spans="1:4" x14ac:dyDescent="0.3">
      <c r="A4">
        <v>3</v>
      </c>
      <c r="B4" t="s">
        <v>189</v>
      </c>
      <c r="C4" t="s">
        <v>187</v>
      </c>
      <c r="D4" t="s">
        <v>202</v>
      </c>
    </row>
    <row r="5" spans="1:4" x14ac:dyDescent="0.3">
      <c r="A5">
        <v>4</v>
      </c>
      <c r="B5" t="s">
        <v>190</v>
      </c>
      <c r="C5" t="s">
        <v>187</v>
      </c>
      <c r="D5" t="s">
        <v>203</v>
      </c>
    </row>
    <row r="6" spans="1:4" x14ac:dyDescent="0.3">
      <c r="A6">
        <v>5</v>
      </c>
      <c r="B6" t="s">
        <v>191</v>
      </c>
      <c r="C6" t="s">
        <v>187</v>
      </c>
      <c r="D6" t="s">
        <v>204</v>
      </c>
    </row>
    <row r="7" spans="1:4" x14ac:dyDescent="0.3">
      <c r="A7">
        <v>6</v>
      </c>
      <c r="B7" t="s">
        <v>192</v>
      </c>
      <c r="C7" t="s">
        <v>193</v>
      </c>
      <c r="D7">
        <f>AVERAGE(tzdata[Nitrate_mgL])</f>
        <v>8.7795454545454525</v>
      </c>
    </row>
    <row r="8" spans="1:4" x14ac:dyDescent="0.3">
      <c r="A8">
        <v>7</v>
      </c>
      <c r="B8" t="s">
        <v>194</v>
      </c>
      <c r="C8" t="s">
        <v>195</v>
      </c>
      <c r="D8">
        <f>COUNT(tzdata[Nitrate_mgL])</f>
        <v>66</v>
      </c>
    </row>
    <row r="9" spans="1:4" x14ac:dyDescent="0.3">
      <c r="A9">
        <v>8</v>
      </c>
      <c r="B9" t="s">
        <v>196</v>
      </c>
      <c r="C9" t="s">
        <v>197</v>
      </c>
      <c r="D9">
        <f>(AVERAGE(tzdata[Nitrate_mgL])-10)/(2.5/SQRT(COUNT(tzdata[Nitrate_mgL])))</f>
        <v>-3.9660078393541078</v>
      </c>
    </row>
    <row r="10" spans="1:4" x14ac:dyDescent="0.3">
      <c r="A10">
        <v>9</v>
      </c>
      <c r="B10" t="s">
        <v>198</v>
      </c>
      <c r="C10" s="3" t="s">
        <v>250</v>
      </c>
      <c r="D10">
        <f>2*(1-_xlfn.NORM.S.DIST(ABS((AVERAGE(tzdata[Nitrate_mgL])-10)/(2.5/SQRT(COUNT(tzdata[Nitrate_mgL])))),TRUE))</f>
        <v>7.3086459516868985E-5</v>
      </c>
    </row>
    <row r="11" spans="1:4" x14ac:dyDescent="0.3">
      <c r="A11">
        <v>10</v>
      </c>
      <c r="B11" t="s">
        <v>199</v>
      </c>
      <c r="C11" t="s">
        <v>205</v>
      </c>
      <c r="D11" t="str">
        <f>IF(QA_Data1!D10&lt;0.05,"Reject null","Cannot reject null")</f>
        <v>Reject null</v>
      </c>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D12" sqref="D12"/>
    </sheetView>
  </sheetViews>
  <sheetFormatPr defaultColWidth="11.5546875" defaultRowHeight="14.4" x14ac:dyDescent="0.3"/>
  <sheetData>
    <row r="1" spans="1:4" x14ac:dyDescent="0.3">
      <c r="A1" t="s">
        <v>182</v>
      </c>
      <c r="B1" t="s">
        <v>183</v>
      </c>
      <c r="C1" t="s">
        <v>184</v>
      </c>
      <c r="D1" t="s">
        <v>185</v>
      </c>
    </row>
    <row r="2" spans="1:4" x14ac:dyDescent="0.3">
      <c r="A2">
        <v>1</v>
      </c>
      <c r="B2" t="s">
        <v>206</v>
      </c>
      <c r="C2" t="s">
        <v>187</v>
      </c>
      <c r="D2" t="s">
        <v>216</v>
      </c>
    </row>
    <row r="3" spans="1:4" x14ac:dyDescent="0.3">
      <c r="A3">
        <v>2</v>
      </c>
      <c r="B3" t="s">
        <v>207</v>
      </c>
      <c r="C3" t="s">
        <v>187</v>
      </c>
      <c r="D3" t="s">
        <v>217</v>
      </c>
    </row>
    <row r="4" spans="1:4" x14ac:dyDescent="0.3">
      <c r="A4">
        <v>3</v>
      </c>
      <c r="B4" t="s">
        <v>189</v>
      </c>
      <c r="C4" t="s">
        <v>187</v>
      </c>
      <c r="D4" t="s">
        <v>218</v>
      </c>
    </row>
    <row r="5" spans="1:4" x14ac:dyDescent="0.3">
      <c r="A5">
        <v>4</v>
      </c>
      <c r="B5" t="s">
        <v>208</v>
      </c>
      <c r="C5" t="s">
        <v>187</v>
      </c>
      <c r="D5" t="s">
        <v>219</v>
      </c>
    </row>
    <row r="6" spans="1:4" x14ac:dyDescent="0.3">
      <c r="A6">
        <v>5</v>
      </c>
      <c r="B6" t="s">
        <v>209</v>
      </c>
      <c r="C6" t="s">
        <v>187</v>
      </c>
      <c r="D6" t="s">
        <v>220</v>
      </c>
    </row>
    <row r="7" spans="1:4" x14ac:dyDescent="0.3">
      <c r="A7">
        <v>6</v>
      </c>
      <c r="B7" t="s">
        <v>210</v>
      </c>
      <c r="C7" t="s">
        <v>211</v>
      </c>
    </row>
    <row r="8" spans="1:4" x14ac:dyDescent="0.3">
      <c r="A8">
        <v>7</v>
      </c>
      <c r="B8" t="s">
        <v>212</v>
      </c>
      <c r="C8" t="s">
        <v>213</v>
      </c>
      <c r="D8" cm="1">
        <f t="array" ref="D8">(AVERAGE(tpairdata[After_kWhDay]-tpairdata[Before_kWhDay]))/(_xlfn.STDEV.S(tpairdata[After_kWhDay]-tpairdata[Before_kWhDay])/SQRT(COUNT(tpairdata[After_kWhDay]-tpairdata[Before_kWhDay])))</f>
        <v>-7.3934524835519122</v>
      </c>
    </row>
    <row r="9" spans="1:4" x14ac:dyDescent="0.3">
      <c r="A9">
        <v>8</v>
      </c>
      <c r="B9" t="s">
        <v>198</v>
      </c>
      <c r="C9" t="s">
        <v>214</v>
      </c>
      <c r="D9" cm="1">
        <f t="array" ref="D9">_xlfn.SINGLE(_xlfn.T.DIST(ABS((AVERAGE(tpairdata[[#This Row],[After_kWhDay]]-tpairdata[Before_kWhDay]))/(_xlfn.STDEV.S(tpairdata[After_kWhDay]-tpairdata[Before_kWhDay])/SQRT(COUNT(tpairdata[After_kWhDay]-tpairdata[Before_kWhDay])))), COUNT(tpairdata[After_kWhDay]-tpairdata[Before_kWhDay])-1,))</f>
        <v>0.39438057353125094</v>
      </c>
    </row>
    <row r="10" spans="1:4" x14ac:dyDescent="0.3">
      <c r="A10">
        <v>9</v>
      </c>
      <c r="B10" t="s">
        <v>215</v>
      </c>
      <c r="C10" t="s">
        <v>187</v>
      </c>
      <c r="D10" t="s">
        <v>221</v>
      </c>
    </row>
    <row r="11" spans="1:4" x14ac:dyDescent="0.3">
      <c r="A11">
        <v>10</v>
      </c>
      <c r="B11" t="s">
        <v>199</v>
      </c>
      <c r="C11" t="s">
        <v>222</v>
      </c>
      <c r="D11" t="str">
        <f>IF(D9&lt;0.05,"Reject null","Cannot reject null")</f>
        <v>Cannot reject null</v>
      </c>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
  <sheetViews>
    <sheetView tabSelected="1" workbookViewId="0">
      <selection activeCell="F13" sqref="F13"/>
    </sheetView>
  </sheetViews>
  <sheetFormatPr defaultColWidth="11.5546875" defaultRowHeight="14.4" x14ac:dyDescent="0.3"/>
  <cols>
    <col min="2" max="2" width="81.5546875" bestFit="1" customWidth="1"/>
  </cols>
  <sheetData>
    <row r="1" spans="1:4" x14ac:dyDescent="0.3">
      <c r="A1" t="s">
        <v>182</v>
      </c>
      <c r="B1" t="s">
        <v>183</v>
      </c>
      <c r="C1" t="s">
        <v>184</v>
      </c>
      <c r="D1" t="s">
        <v>185</v>
      </c>
    </row>
    <row r="2" spans="1:4" x14ac:dyDescent="0.3">
      <c r="A2">
        <v>1</v>
      </c>
      <c r="B2" t="s">
        <v>223</v>
      </c>
      <c r="C2" t="s">
        <v>187</v>
      </c>
      <c r="D2" t="s">
        <v>233</v>
      </c>
    </row>
    <row r="3" spans="1:4" x14ac:dyDescent="0.3">
      <c r="A3">
        <v>2</v>
      </c>
      <c r="B3" t="s">
        <v>224</v>
      </c>
      <c r="C3" t="s">
        <v>187</v>
      </c>
      <c r="D3" t="s">
        <v>234</v>
      </c>
    </row>
    <row r="4" spans="1:4" x14ac:dyDescent="0.3">
      <c r="A4">
        <v>3</v>
      </c>
      <c r="B4" t="s">
        <v>225</v>
      </c>
      <c r="C4" t="s">
        <v>187</v>
      </c>
      <c r="D4" t="s">
        <v>235</v>
      </c>
    </row>
    <row r="5" spans="1:4" x14ac:dyDescent="0.3">
      <c r="A5">
        <v>4</v>
      </c>
      <c r="B5" t="s">
        <v>189</v>
      </c>
      <c r="C5" t="s">
        <v>187</v>
      </c>
      <c r="D5" t="s">
        <v>236</v>
      </c>
    </row>
    <row r="6" spans="1:4" x14ac:dyDescent="0.3">
      <c r="A6">
        <v>5</v>
      </c>
      <c r="B6" t="s">
        <v>226</v>
      </c>
      <c r="C6" t="s">
        <v>187</v>
      </c>
      <c r="D6" t="s">
        <v>237</v>
      </c>
    </row>
    <row r="7" spans="1:4" x14ac:dyDescent="0.3">
      <c r="A7">
        <v>6</v>
      </c>
      <c r="B7" t="s">
        <v>227</v>
      </c>
      <c r="C7" t="s">
        <v>187</v>
      </c>
      <c r="D7" t="s">
        <v>238</v>
      </c>
    </row>
    <row r="8" spans="1:4" x14ac:dyDescent="0.3">
      <c r="A8">
        <v>7</v>
      </c>
      <c r="B8" t="s">
        <v>228</v>
      </c>
      <c r="C8" t="s">
        <v>187</v>
      </c>
      <c r="D8" t="s">
        <v>239</v>
      </c>
    </row>
    <row r="9" spans="1:4" x14ac:dyDescent="0.3">
      <c r="A9">
        <v>8</v>
      </c>
      <c r="B9" t="s">
        <v>229</v>
      </c>
      <c r="C9" t="s">
        <v>187</v>
      </c>
      <c r="D9" t="s">
        <v>240</v>
      </c>
    </row>
    <row r="10" spans="1:4" x14ac:dyDescent="0.3">
      <c r="A10">
        <v>9</v>
      </c>
      <c r="B10" t="s">
        <v>230</v>
      </c>
      <c r="C10" t="s">
        <v>187</v>
      </c>
      <c r="D10">
        <v>1.2706349206349203</v>
      </c>
    </row>
    <row r="11" spans="1:4" x14ac:dyDescent="0.3">
      <c r="A11">
        <v>10</v>
      </c>
      <c r="B11" t="s">
        <v>231</v>
      </c>
      <c r="C11" t="s">
        <v>187</v>
      </c>
      <c r="D11">
        <v>-4.4056058371131392E-3</v>
      </c>
    </row>
    <row r="12" spans="1:4" x14ac:dyDescent="0.3">
      <c r="A12">
        <v>11</v>
      </c>
      <c r="B12" t="s">
        <v>232</v>
      </c>
      <c r="C12" t="s">
        <v>241</v>
      </c>
      <c r="D12" t="str">
        <f>IF(Data3!L12&lt;0.05,"Reject null","Cannot reject null")</f>
        <v>Cannot reject null</v>
      </c>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Data2</vt:lpstr>
      <vt:lpstr>Data3</vt:lpstr>
      <vt:lpstr>QA_Data1</vt:lpstr>
      <vt:lpstr>QA_Data2</vt:lpstr>
      <vt:lpstr>QA_Data3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2025-12-30T16:40:45Z</dcterms:created>
  <dcterms:modified xsi:type="dcterms:W3CDTF">2025-12-30T16:47:15Z</dcterms:modified>
</cp:coreProperties>
</file>
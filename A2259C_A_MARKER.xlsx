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yrp-my.sharepoint.com/personal/paul_z_chen_rp_edu_sg/Documents/A2259C/A2295C graded assignment/"/>
    </mc:Choice>
  </mc:AlternateContent>
  <xr:revisionPtr revIDLastSave="355" documentId="11_79039D3FD5A59840DAA791CC085518F7C3A803AA" xr6:coauthVersionLast="47" xr6:coauthVersionMax="47" xr10:uidLastSave="{B4019CFB-E9B2-482C-A13A-0BF51EB008C7}"/>
  <bookViews>
    <workbookView xWindow="-108" yWindow="-108" windowWidth="23256" windowHeight="12456" activeTab="6" xr2:uid="{00000000-000D-0000-FFFF-FFFF00000000}"/>
  </bookViews>
  <sheets>
    <sheet name="Meta" sheetId="8" r:id="rId1"/>
    <sheet name="Data1" sheetId="2" r:id="rId2"/>
    <sheet name="QA_Data1" sheetId="5" r:id="rId3"/>
    <sheet name="Data2" sheetId="3" r:id="rId4"/>
    <sheet name="QA_Data2" sheetId="6" r:id="rId5"/>
    <sheet name="Data3" sheetId="4" r:id="rId6"/>
    <sheet name="QA_Data3"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5" l="1"/>
  <c r="D12" i="7"/>
  <c r="D2" i="4"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D11" i="6"/>
  <c r="D9" i="6" a="1"/>
  <c r="D9" i="6" s="1"/>
  <c r="D8" i="6" a="1"/>
  <c r="D8" i="6" s="1"/>
  <c r="D10" i="5"/>
  <c r="D9" i="5"/>
  <c r="D8" i="5"/>
  <c r="D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<sst xmlns="http://schemas.openxmlformats.org/spreadsheetml/2006/main" count="380" uniqueCount="281">
  <si>
    <t>Outlet_ID</t>
  </si>
  <si>
    <t>Nitrate_mgL</t>
  </si>
  <si>
    <t>O343</t>
  </si>
  <si>
    <t>O132</t>
  </si>
  <si>
    <t>O723</t>
  </si>
  <si>
    <t>O673</t>
  </si>
  <si>
    <t>O090</t>
  </si>
  <si>
    <t>O508</t>
  </si>
  <si>
    <t>O362</t>
  </si>
  <si>
    <t>O776</t>
  </si>
  <si>
    <t>O500</t>
  </si>
  <si>
    <t>O124</t>
  </si>
  <si>
    <t>O545</t>
  </si>
  <si>
    <t>O622</t>
  </si>
  <si>
    <t>O140</t>
  </si>
  <si>
    <t>O605</t>
  </si>
  <si>
    <t>O652</t>
  </si>
  <si>
    <t>O896</t>
  </si>
  <si>
    <t>O494</t>
  </si>
  <si>
    <t>O060</t>
  </si>
  <si>
    <t>O029</t>
  </si>
  <si>
    <t>O361</t>
  </si>
  <si>
    <t>O620</t>
  </si>
  <si>
    <t>O413</t>
  </si>
  <si>
    <t>O114</t>
  </si>
  <si>
    <t>O331</t>
  </si>
  <si>
    <t>O417</t>
  </si>
  <si>
    <t>O495</t>
  </si>
  <si>
    <t>O374</t>
  </si>
  <si>
    <t>O812</t>
  </si>
  <si>
    <t>O882</t>
  </si>
  <si>
    <t>O786</t>
  </si>
  <si>
    <t>O406</t>
  </si>
  <si>
    <t>O159</t>
  </si>
  <si>
    <t>O691</t>
  </si>
  <si>
    <t>O019</t>
  </si>
  <si>
    <t>O055</t>
  </si>
  <si>
    <t>O472</t>
  </si>
  <si>
    <t>O587</t>
  </si>
  <si>
    <t>O788</t>
  </si>
  <si>
    <t>O024</t>
  </si>
  <si>
    <t>O216</t>
  </si>
  <si>
    <t>O858</t>
  </si>
  <si>
    <t>O991</t>
  </si>
  <si>
    <t>O876</t>
  </si>
  <si>
    <t>O322</t>
  </si>
  <si>
    <t>O797</t>
  </si>
  <si>
    <t>O899</t>
  </si>
  <si>
    <t>O714</t>
  </si>
  <si>
    <t>O663</t>
  </si>
  <si>
    <t>O880</t>
  </si>
  <si>
    <t>O126</t>
  </si>
  <si>
    <t>O035</t>
  </si>
  <si>
    <t>O670</t>
  </si>
  <si>
    <t>O137</t>
  </si>
  <si>
    <t>O461</t>
  </si>
  <si>
    <t>O877</t>
  </si>
  <si>
    <t>O321</t>
  </si>
  <si>
    <t>O118</t>
  </si>
  <si>
    <t>O662</t>
  </si>
  <si>
    <t>O339</t>
  </si>
  <si>
    <t>O121</t>
  </si>
  <si>
    <t>O314</t>
  </si>
  <si>
    <t>O541</t>
  </si>
  <si>
    <t>O726</t>
  </si>
  <si>
    <t>O151</t>
  </si>
  <si>
    <t>O197</t>
  </si>
  <si>
    <t>O238</t>
  </si>
  <si>
    <t>O110</t>
  </si>
  <si>
    <t>Facility_ID</t>
  </si>
  <si>
    <t>Before_kWhDay</t>
  </si>
  <si>
    <t>After_kWhDay</t>
  </si>
  <si>
    <t>F830</t>
  </si>
  <si>
    <t>F439</t>
  </si>
  <si>
    <t>F126</t>
  </si>
  <si>
    <t>F018</t>
  </si>
  <si>
    <t>F918</t>
  </si>
  <si>
    <t>F729</t>
  </si>
  <si>
    <t>F727</t>
  </si>
  <si>
    <t>F967</t>
  </si>
  <si>
    <t>F554</t>
  </si>
  <si>
    <t>F275</t>
  </si>
  <si>
    <t>F552</t>
  </si>
  <si>
    <t>F703</t>
  </si>
  <si>
    <t>F415</t>
  </si>
  <si>
    <t>F003</t>
  </si>
  <si>
    <t>F094</t>
  </si>
  <si>
    <t>F465</t>
  </si>
  <si>
    <t>F484</t>
  </si>
  <si>
    <t>F730</t>
  </si>
  <si>
    <t>F687</t>
  </si>
  <si>
    <t>F490</t>
  </si>
  <si>
    <t>F755</t>
  </si>
  <si>
    <t>F184</t>
  </si>
  <si>
    <t>F452</t>
  </si>
  <si>
    <t>F587</t>
  </si>
  <si>
    <t>F541</t>
  </si>
  <si>
    <t>F611</t>
  </si>
  <si>
    <t>F227</t>
  </si>
  <si>
    <t>F299</t>
  </si>
  <si>
    <t>F801</t>
  </si>
  <si>
    <t>F708</t>
  </si>
  <si>
    <t>F806</t>
  </si>
  <si>
    <t>F437</t>
  </si>
  <si>
    <t>F897</t>
  </si>
  <si>
    <t>F172</t>
  </si>
  <si>
    <t>F053</t>
  </si>
  <si>
    <t>F854</t>
  </si>
  <si>
    <t>F565</t>
  </si>
  <si>
    <t>F746</t>
  </si>
  <si>
    <t>F202</t>
  </si>
  <si>
    <t>Site_ID</t>
  </si>
  <si>
    <t>Management_Regime</t>
  </si>
  <si>
    <t>Biodiversity_Index</t>
  </si>
  <si>
    <t>S7906</t>
  </si>
  <si>
    <t>S8948</t>
  </si>
  <si>
    <t>S6797</t>
  </si>
  <si>
    <t>S3765</t>
  </si>
  <si>
    <t>S2494</t>
  </si>
  <si>
    <t>S0178</t>
  </si>
  <si>
    <t>S7412</t>
  </si>
  <si>
    <t>S1016</t>
  </si>
  <si>
    <t>S2929</t>
  </si>
  <si>
    <t>S9461</t>
  </si>
  <si>
    <t>S4750</t>
  </si>
  <si>
    <t>S9961</t>
  </si>
  <si>
    <t>S2036</t>
  </si>
  <si>
    <t>S9930</t>
  </si>
  <si>
    <t>S3576</t>
  </si>
  <si>
    <t>S3534</t>
  </si>
  <si>
    <t>S3375</t>
  </si>
  <si>
    <t>S1441</t>
  </si>
  <si>
    <t>S9924</t>
  </si>
  <si>
    <t>S3581</t>
  </si>
  <si>
    <t>S6303</t>
  </si>
  <si>
    <t>S4349</t>
  </si>
  <si>
    <t>S5313</t>
  </si>
  <si>
    <t>S7371</t>
  </si>
  <si>
    <t>S3729</t>
  </si>
  <si>
    <t>S7019</t>
  </si>
  <si>
    <t>S7508</t>
  </si>
  <si>
    <t>S2523</t>
  </si>
  <si>
    <t>S1342</t>
  </si>
  <si>
    <t>S3248</t>
  </si>
  <si>
    <t>S1044</t>
  </si>
  <si>
    <t>S0672</t>
  </si>
  <si>
    <t>S5404</t>
  </si>
  <si>
    <t>S5057</t>
  </si>
  <si>
    <t>S2045</t>
  </si>
  <si>
    <t>S7482</t>
  </si>
  <si>
    <t>S0866</t>
  </si>
  <si>
    <t>S8895</t>
  </si>
  <si>
    <t>S8308</t>
  </si>
  <si>
    <t>S1291</t>
  </si>
  <si>
    <t>S3851</t>
  </si>
  <si>
    <t>S4175</t>
  </si>
  <si>
    <t>S5937</t>
  </si>
  <si>
    <t>S7583</t>
  </si>
  <si>
    <t>S1425</t>
  </si>
  <si>
    <t>S5504</t>
  </si>
  <si>
    <t>S0230</t>
  </si>
  <si>
    <t>S3787</t>
  </si>
  <si>
    <t>S5449</t>
  </si>
  <si>
    <t>S0091</t>
  </si>
  <si>
    <t>S1333</t>
  </si>
  <si>
    <t>S2904</t>
  </si>
  <si>
    <t>S3811</t>
  </si>
  <si>
    <t>S4452</t>
  </si>
  <si>
    <t>S5049</t>
  </si>
  <si>
    <t>S5974</t>
  </si>
  <si>
    <t>S1572</t>
  </si>
  <si>
    <t>S1270</t>
  </si>
  <si>
    <t>S6597</t>
  </si>
  <si>
    <t>S6765</t>
  </si>
  <si>
    <t>S2232</t>
  </si>
  <si>
    <t>S3675</t>
  </si>
  <si>
    <t>S4771</t>
  </si>
  <si>
    <t>No</t>
  </si>
  <si>
    <t>Question</t>
  </si>
  <si>
    <t>formula</t>
  </si>
  <si>
    <t>Answer</t>
  </si>
  <si>
    <t/>
  </si>
  <si>
    <t>'=AVERAGE(tZData[Nitrate_mgL])</t>
  </si>
  <si>
    <t>'=COUNT(tZData[Nitrate_mgL])</t>
  </si>
  <si>
    <t>'=(AVERAGE(tZData[Nitrate_mgL])-10)/(2.5/SQRT(COUNT(tZData[Nitrate_mgL])))</t>
  </si>
  <si>
    <t>Y = Nitrate_mgL (continuous).</t>
  </si>
  <si>
    <t>H0: Mean nitrate concentration = 10 mg/L.</t>
  </si>
  <si>
    <t>H1: Mean nitrate concentration ≠ 10 mg/L.</t>
  </si>
  <si>
    <t>One-sample Z test (n &gt; 30; population sigma known, σ = 2.5).</t>
  </si>
  <si>
    <t>Observations are independent; distribution is approximately normal or n is large enough for CLT.</t>
  </si>
  <si>
    <t>If p-value &lt; 0.05, reject H0; conclude mean nitrate differs from the claimed mean. Otherwise, fail to reject H0.</t>
  </si>
  <si>
    <t>'=COUNT(tPairData[After_kWhDay]-tPairData[Before_kWhDay])-1)</t>
  </si>
  <si>
    <t>'=(AVERAGE(tPairData[After_kWhDay]-tPairData[Before_kWhDay]))/(STDEV.S(tPairData[After_kWhDay]-tPairData[Before_kWhDay])/SQRT(COUNT(tPairData[After_kWhDay]-tPairData[Before_kWhDay])))</t>
  </si>
  <si>
    <t>Paired differences = After_kWhDay - Before_kWhDay (continuous).</t>
  </si>
  <si>
    <t>H0: Mean paired difference = 0 (no change after retrofit).</t>
  </si>
  <si>
    <t>H1: Mean paired difference ≠ 0 (a change after retrofit).</t>
  </si>
  <si>
    <t>Paired t-test (same facilities measured twice).</t>
  </si>
  <si>
    <t>Create a Differences column (After - Before); exclude rows with missing values.</t>
  </si>
  <si>
    <t>Paired differences are approximately normal; pairs are correctly matched and independent of other pairs.</t>
  </si>
  <si>
    <t>If p-value &lt; 0.05, reject H0; conclude the retrofit changed mean electricity use. Otherwise, fail to reject H0.</t>
  </si>
  <si>
    <t>Y = Biodiversity_Index (continuous).</t>
  </si>
  <si>
    <t>X = Management_Regime (categorical).</t>
  </si>
  <si>
    <t>H0: Management regime has no effect; all regime coefficients (relative to reference) = 0.</t>
  </si>
  <si>
    <t>H1: At least one regime coefficient ≠ 0; regime influences biodiversity index.</t>
  </si>
  <si>
    <t>Linear regression with dummy variables for regime categories.</t>
  </si>
  <si>
    <t>Create dummy columns for Reduced mow and Biodiverse planting (reference = Routine mow).</t>
  </si>
  <si>
    <t>Linearity in parameters; homoscedasticity of residuals; residuals roughly normal; independence.</t>
  </si>
  <si>
    <t>Residuals vs fitted plot for homoscedasticity; histogram of residuals for normality; (optional) Q-Q style check.</t>
  </si>
  <si>
    <t>If p-value &lt; 0.05, reject H0; conclude that different verge management regime have different biodiversity indices. Otherwise, fail to reject H0.</t>
  </si>
  <si>
    <t>2*(1-NORM.S.DIST(ABS((AVERAGE(tzdata[Nitrate_mgL])-10)/(2.5/SQRT(COUNT(tzdata[Nitrate_mgL])))),TRUE))</t>
  </si>
  <si>
    <t>=T.DIST(ABS((AVERAGE(tpairdata[After_kWhDay]-tpairdata[@[Before_kWhDay]]))/(STDEV.S(tpairdata[After_kWhDay]-tpairdata[Before_kWhDay])/SQRT(COUNT(tpairdata[After_kWhDay]-tpairdata[Before_kWhDay])))), COUNT(tpairdata[After_kWhDay]-tpairdata[Before_kWhDay])-1,TRUE)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</si>
  <si>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</si>
  <si>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</si>
  <si>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</si>
  <si>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</si>
  <si>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</si>
  <si>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</si>
  <si>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</si>
  <si>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</si>
  <si>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</si>
  <si>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</si>
  <si>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</si>
  <si>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</si>
  <si>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</si>
  <si>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</si>
  <si>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</si>
  <si>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</si>
  <si>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</si>
  <si>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</si>
  <si>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</si>
  <si>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</si>
  <si>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</si>
  <si>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</si>
  <si>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</si>
  <si>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</si>
  <si>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</si>
  <si>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</si>
  <si>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Residuals</t>
  </si>
  <si>
    <t>PROBABILITY OUTPUT</t>
  </si>
  <si>
    <t>Percentile</t>
  </si>
  <si>
    <t>Biodiverse_planting</t>
  </si>
  <si>
    <t>Reduced_mow</t>
  </si>
  <si>
    <t>Routine_mow</t>
  </si>
  <si>
    <t>Predicted Biodiversity_Index</t>
  </si>
  <si>
    <t>Identify the dependent variable.</t>
  </si>
  <si>
    <t>Identify the independent variable</t>
  </si>
  <si>
    <t>State the null hypothesis (H0) about the regime effect.</t>
  </si>
  <si>
    <t>State the alternative hypothesis (H1).</t>
  </si>
  <si>
    <t>What statistical test should be used?</t>
  </si>
  <si>
    <t>Perform any additional preprocessing required in Excel</t>
  </si>
  <si>
    <t>Name two assumptions of the linear model.</t>
  </si>
  <si>
    <t>What plot(s) should be used to check assumptions in Excel?</t>
  </si>
  <si>
    <r>
      <t>What is the mean biodiversity index of the biodiverse planting regime (i.e., β</t>
    </r>
    <r>
      <rPr>
        <vertAlign val="subscript"/>
        <sz val="11"/>
        <color rgb="FF000000"/>
        <rFont val="Calibri"/>
        <family val="2"/>
        <scheme val="minor"/>
      </rPr>
      <t>biodiverse_planting</t>
    </r>
    <r>
      <rPr>
        <sz val="11"/>
        <color rgb="FF000000"/>
        <rFont val="Calibri"/>
        <family val="2"/>
        <scheme val="minor"/>
      </rPr>
      <t>)</t>
    </r>
  </si>
  <si>
    <r>
      <t>What is the adjusted R</t>
    </r>
    <r>
      <rPr>
        <vertAlign val="superscript"/>
        <sz val="11"/>
        <color rgb="FF000000"/>
        <rFont val="Calibri"/>
        <family val="2"/>
        <scheme val="minor"/>
      </rPr>
      <t>2</t>
    </r>
  </si>
  <si>
    <t>State the conclusion of the test at α = 0.05.</t>
  </si>
  <si>
    <t>Identify the dependent comparison for this dataset.</t>
  </si>
  <si>
    <t>State the null hypothesis (H0).</t>
  </si>
  <si>
    <t>Explain which statistical test is most appropriate?</t>
  </si>
  <si>
    <t>Perform any preprocessing step needed in Excel before testing</t>
  </si>
  <si>
    <t>Determine the degree of freedom</t>
  </si>
  <si>
    <t>Compute the test statistic</t>
  </si>
  <si>
    <t>Compute the corresponding p-value.</t>
  </si>
  <si>
    <t>State two assumptions for a paired t-test.</t>
  </si>
  <si>
    <t>Decision at α = 0.05 and a one-sentence conclusion.</t>
  </si>
  <si>
    <t>Identify the dependent variable (Y).</t>
  </si>
  <si>
    <t>State the null hypothesis (H0) using the claimed mean.</t>
  </si>
  <si>
    <t>What statistical test is most appropriate?</t>
  </si>
  <si>
    <t>State one key assumption for this test.</t>
  </si>
  <si>
    <t>Compute the sample mean.</t>
  </si>
  <si>
    <t>Compute the sample size n.</t>
  </si>
  <si>
    <t>Compute the test statistic.</t>
  </si>
  <si>
    <t>Dataset</t>
  </si>
  <si>
    <t>Context</t>
  </si>
  <si>
    <t>Data1</t>
  </si>
  <si>
    <t>Urban Stormwater Quality Monitoring
An environmental agency monitors nitrate concentration (mg/L) in stormwater discharged from outlets located near industrial areas.
After recent maintenance works, the agency states that the average nitrate concentration does not differ from 10 mg/L, which is the internal compliance benchmark used for planning purposes.
To evaluate this claim, nitrate measurements were collected from stormwater outlets over multiple days following the maintenance works.</t>
  </si>
  <si>
    <t>Data2</t>
  </si>
  <si>
    <t>Community Facility Energy Retrofit Evaluation
A local council implemented an energy-efficiency retrofit in several community facilities, including upgrades to lighting and cooling systems.
For each facility, average daily electricity consumption (kWh/day) was recorded:
- during the month before the retrofit, and
- during the month after the retrofit was fully operational.
The council wants to determine whether the retrofit was associated with a change in electricity consumption.</t>
  </si>
  <si>
    <t>Data3</t>
  </si>
  <si>
    <t>Roadside Verge Management and Biodiversity Study
A sustainability research team is studying whether different roadside verge management regimes are associated with differences in biodiversity index scores.
Data were collected from sites managed under one of the following regimes:
1. routine mowing,
2. reduced mowing, or
3. biodiverse planting.
At each site, a biodiversity index score was recorded based on species richness and abundance surveys.
The study aims to examine whether verge management regime is associated with variation in biodiversity index scores.</t>
  </si>
  <si>
    <t>Briefly discuss one limitation of relying on generative AI to solve this question.</t>
  </si>
  <si>
    <t>AI may suggest an incorrect model if context is misunderstood 
AI may not correctly handle dummy variable creation in Excel 
AI may give generic interpretations without checking assumptions 
AI outputs depend on correct user input and may overlook data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</si>
</sst>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8"/>
      <name val="Calibri"/>
      <family val="2"/>
      <scheme val="minor"/>
    </font>
    <font>
      <i/>
      <sz val="11"/>
      <color rgb="FF000000"/>
      <name val="Calibri"/>
      <family val="2"/>
      <scheme val="minor"/>
    </font>
    <font>
      <vertAlign val="subscript"/>
      <sz val="11"/>
      <color rgb="FF000000"/>
      <name val="Calibri"/>
      <family val="2"/>
      <scheme val="minor"/>
    </font>
    <font>
      <vertAlign val="superscript"/>
      <sz val="11"/>
      <color rgb="FF000000"/>
      <name val="Calibri"/>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quotePrefix="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2" fillId="0" borderId="0" xfId="0" applyFont="1" applyAlignment="1">
      <alignment horizontal="centerContinuous"/>
    </xf>
    <xf numFmtId="0" fontId="2" fillId="0" borderId="0" xfId="0" applyFont="1" applyAlignment="1">
      <alignment horizontal="center"/>
    </xf>
    <xf numFmtId="11" fontId="0" fillId="0" borderId="0" xfId="0" applyNumberFormat="1"/>
    <xf numFmtId="0" fontId="0" fillId="0" borderId="3" xfId="0" applyBorder="1" applyAlignment="1">
      <alignment horizontal="left" vertical="top"/>
    </xf>
    <xf numFmtId="0" fontId="0" fillId="0" borderId="0" xfId="0" applyAlignment="1">
      <alignment horizontal="left" vertical="top"/>
    </xf>
    <xf numFmtId="0" fontId="0" fillId="0" borderId="3" xfId="0" applyBorder="1" applyAlignment="1">
      <alignment horizontal="left" vertical="top" wrapText="1"/>
    </xf>
    <xf numFmtId="0" fontId="0" fillId="0" borderId="0" xfId="0" applyAlignment="1">
      <alignment wrapText="1"/>
    </xf>
    <xf numFmtId="0" fontId="0" fillId="0" borderId="0" xfId="0" quotePrefix="1" applyAlignment="1">
      <alignment wrapText="1"/>
    </xf>
    <xf numFmtId="0" fontId="0" fillId="0" borderId="3" xfId="0" applyBorder="1"/>
    <xf numFmtId="0" fontId="0" fillId="0" borderId="3" xfId="0" applyBorder="1" applyAlignment="1">
      <alignment wrapText="1"/>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Biodiverse_planting  Residual Plot</a:t>
            </a:r>
          </a:p>
        </c:rich>
      </c:tx>
      <c:overlay val="0"/>
    </c:title>
    <c:autoTitleDeleted val="0"/>
    <c:plotArea>
      <c:layout/>
      <c:scatterChart>
        <c:scatterStyle val="lineMarker"/>
        <c:varyColors val="0"/>
        <c:ser>
          <c:idx val="0"/>
          <c:order val="0"/>
          <c:spPr>
            <a:ln w="28575">
              <a:noFill/>
            </a:ln>
          </c:spPr>
          <c:xVal>
            <c:numRef>
              <c:f>Data3!$C$2:$C$64</c:f>
              <c:numCache>
                <c:formatCode>General</c:formatCode>
                <c:ptCount val="63"/>
                <c:pt idx="0">
                  <c:v>1</c:v>
                </c:pt>
                <c:pt idx="1">
                  <c:v>0</c:v>
                </c:pt>
                <c:pt idx="2">
                  <c:v>0</c:v>
                </c:pt>
                <c:pt idx="3">
                  <c:v>0</c:v>
                </c:pt>
                <c:pt idx="4">
                  <c:v>0</c:v>
                </c:pt>
                <c:pt idx="5">
                  <c:v>0</c:v>
                </c:pt>
                <c:pt idx="6">
                  <c:v>1</c:v>
                </c:pt>
                <c:pt idx="7">
                  <c:v>1</c:v>
                </c:pt>
                <c:pt idx="8">
                  <c:v>0</c:v>
                </c:pt>
                <c:pt idx="9">
                  <c:v>0</c:v>
                </c:pt>
                <c:pt idx="10">
                  <c:v>0</c:v>
                </c:pt>
                <c:pt idx="11">
                  <c:v>0</c:v>
                </c:pt>
                <c:pt idx="12">
                  <c:v>0</c:v>
                </c:pt>
                <c:pt idx="13">
                  <c:v>0</c:v>
                </c:pt>
                <c:pt idx="14">
                  <c:v>1</c:v>
                </c:pt>
                <c:pt idx="15">
                  <c:v>1</c:v>
                </c:pt>
                <c:pt idx="16">
                  <c:v>1</c:v>
                </c:pt>
                <c:pt idx="17">
                  <c:v>0</c:v>
                </c:pt>
                <c:pt idx="18">
                  <c:v>0</c:v>
                </c:pt>
                <c:pt idx="19">
                  <c:v>1</c:v>
                </c:pt>
                <c:pt idx="20">
                  <c:v>1</c:v>
                </c:pt>
                <c:pt idx="21">
                  <c:v>1</c:v>
                </c:pt>
                <c:pt idx="22">
                  <c:v>0</c:v>
                </c:pt>
                <c:pt idx="23">
                  <c:v>1</c:v>
                </c:pt>
                <c:pt idx="24">
                  <c:v>1</c:v>
                </c:pt>
                <c:pt idx="25">
                  <c:v>0</c:v>
                </c:pt>
                <c:pt idx="26">
                  <c:v>1</c:v>
                </c:pt>
                <c:pt idx="27">
                  <c:v>0</c:v>
                </c:pt>
                <c:pt idx="28">
                  <c:v>0</c:v>
                </c:pt>
                <c:pt idx="29">
                  <c:v>0</c:v>
                </c:pt>
                <c:pt idx="30">
                  <c:v>0</c:v>
                </c:pt>
                <c:pt idx="31">
                  <c:v>0</c:v>
                </c:pt>
                <c:pt idx="32">
                  <c:v>0</c:v>
                </c:pt>
                <c:pt idx="33">
                  <c:v>1</c:v>
                </c:pt>
                <c:pt idx="34">
                  <c:v>1</c:v>
                </c:pt>
                <c:pt idx="35">
                  <c:v>0</c:v>
                </c:pt>
                <c:pt idx="36">
                  <c:v>0</c:v>
                </c:pt>
                <c:pt idx="37">
                  <c:v>0</c:v>
                </c:pt>
                <c:pt idx="38">
                  <c:v>0</c:v>
                </c:pt>
                <c:pt idx="39">
                  <c:v>1</c:v>
                </c:pt>
                <c:pt idx="40">
                  <c:v>1</c:v>
                </c:pt>
                <c:pt idx="41">
                  <c:v>1</c:v>
                </c:pt>
                <c:pt idx="42">
                  <c:v>1</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c:v>
                </c:pt>
                <c:pt idx="58">
                  <c:v>0</c:v>
                </c:pt>
                <c:pt idx="59">
                  <c:v>0</c:v>
                </c:pt>
                <c:pt idx="60">
                  <c:v>0</c:v>
                </c:pt>
                <c:pt idx="61">
                  <c:v>0</c:v>
                </c:pt>
                <c:pt idx="62">
                  <c:v>0</c:v>
                </c:pt>
              </c:numCache>
            </c:numRef>
          </c:xVal>
          <c:yVal>
            <c:numRef>
              <c:f>Data3!$K$30:$K$92</c:f>
              <c:numCache>
                <c:formatCode>General</c:formatCode>
                <c:ptCount val="63"/>
                <c:pt idx="0">
                  <c:v>2.2137243961719264</c:v>
                </c:pt>
                <c:pt idx="1">
                  <c:v>2.5190476190476119</c:v>
                </c:pt>
                <c:pt idx="2">
                  <c:v>10.326086956521742</c:v>
                </c:pt>
                <c:pt idx="3">
                  <c:v>4.0190476190476119</c:v>
                </c:pt>
                <c:pt idx="4">
                  <c:v>-2.3739130434782609</c:v>
                </c:pt>
                <c:pt idx="5">
                  <c:v>-7.4739130434782624</c:v>
                </c:pt>
                <c:pt idx="6">
                  <c:v>-2.7862756038280736</c:v>
                </c:pt>
                <c:pt idx="7">
                  <c:v>-14.286275603828074</c:v>
                </c:pt>
                <c:pt idx="8">
                  <c:v>-1.2809523809523853</c:v>
                </c:pt>
                <c:pt idx="9">
                  <c:v>-3.2739130434782595</c:v>
                </c:pt>
                <c:pt idx="10">
                  <c:v>-2.4809523809523881</c:v>
                </c:pt>
                <c:pt idx="11">
                  <c:v>1.8260869565217419</c:v>
                </c:pt>
                <c:pt idx="12">
                  <c:v>5.9260869565217362</c:v>
                </c:pt>
                <c:pt idx="13">
                  <c:v>2.9260869565217362</c:v>
                </c:pt>
                <c:pt idx="14">
                  <c:v>21.552960868905231</c:v>
                </c:pt>
                <c:pt idx="15">
                  <c:v>4.8137243961719278</c:v>
                </c:pt>
                <c:pt idx="16">
                  <c:v>4.5137243961719307</c:v>
                </c:pt>
                <c:pt idx="17">
                  <c:v>-10.973913043478262</c:v>
                </c:pt>
                <c:pt idx="18">
                  <c:v>-4.2809523809523853</c:v>
                </c:pt>
                <c:pt idx="19">
                  <c:v>2.9137243961719292</c:v>
                </c:pt>
                <c:pt idx="20">
                  <c:v>-6.4862756038280693</c:v>
                </c:pt>
                <c:pt idx="21">
                  <c:v>-8.7862756038280736</c:v>
                </c:pt>
                <c:pt idx="22">
                  <c:v>10.019047619047612</c:v>
                </c:pt>
                <c:pt idx="23">
                  <c:v>1.4137243961719292</c:v>
                </c:pt>
                <c:pt idx="24">
                  <c:v>-2.3862756038280679</c:v>
                </c:pt>
                <c:pt idx="25">
                  <c:v>9.4260869565217362</c:v>
                </c:pt>
                <c:pt idx="26">
                  <c:v>-5.9862756038280693</c:v>
                </c:pt>
                <c:pt idx="27">
                  <c:v>4.319047619047609</c:v>
                </c:pt>
                <c:pt idx="28">
                  <c:v>-5.2739130434782595</c:v>
                </c:pt>
                <c:pt idx="29">
                  <c:v>1.9047619047611875E-2</c:v>
                </c:pt>
                <c:pt idx="30">
                  <c:v>5.0260869565217376</c:v>
                </c:pt>
                <c:pt idx="31">
                  <c:v>14.22608695652174</c:v>
                </c:pt>
                <c:pt idx="32">
                  <c:v>6.0260869565217376</c:v>
                </c:pt>
                <c:pt idx="33">
                  <c:v>-5.7862756038280736</c:v>
                </c:pt>
                <c:pt idx="34">
                  <c:v>-0.48627560382806934</c:v>
                </c:pt>
                <c:pt idx="35">
                  <c:v>0.51904761904761187</c:v>
                </c:pt>
                <c:pt idx="36">
                  <c:v>-6.180952380952391</c:v>
                </c:pt>
                <c:pt idx="37">
                  <c:v>11.626086956521739</c:v>
                </c:pt>
                <c:pt idx="38">
                  <c:v>-3.1739130434782616</c:v>
                </c:pt>
                <c:pt idx="39">
                  <c:v>13.013724396171931</c:v>
                </c:pt>
                <c:pt idx="40">
                  <c:v>7.1137243961719321</c:v>
                </c:pt>
                <c:pt idx="41">
                  <c:v>5.3137243961719278</c:v>
                </c:pt>
                <c:pt idx="42">
                  <c:v>-12.986275603828069</c:v>
                </c:pt>
                <c:pt idx="43">
                  <c:v>-4.7809523809523853</c:v>
                </c:pt>
                <c:pt idx="44">
                  <c:v>-2.9739130434782624</c:v>
                </c:pt>
                <c:pt idx="45">
                  <c:v>-9.4739130434782624</c:v>
                </c:pt>
                <c:pt idx="46">
                  <c:v>-8.5809523809523895</c:v>
                </c:pt>
                <c:pt idx="47">
                  <c:v>5.0190476190476119</c:v>
                </c:pt>
                <c:pt idx="48">
                  <c:v>6.9190476190476105</c:v>
                </c:pt>
                <c:pt idx="49">
                  <c:v>-10.07391304347826</c:v>
                </c:pt>
                <c:pt idx="50">
                  <c:v>-3.4809523809523881</c:v>
                </c:pt>
                <c:pt idx="51">
                  <c:v>-6.0809523809523895</c:v>
                </c:pt>
                <c:pt idx="52">
                  <c:v>-4.3739130434782609</c:v>
                </c:pt>
                <c:pt idx="53">
                  <c:v>-8.9739130434782624</c:v>
                </c:pt>
                <c:pt idx="54">
                  <c:v>-0.98095238095238813</c:v>
                </c:pt>
                <c:pt idx="55">
                  <c:v>7.4190476190476105</c:v>
                </c:pt>
                <c:pt idx="56">
                  <c:v>-2.180952380952391</c:v>
                </c:pt>
                <c:pt idx="57">
                  <c:v>-2.8862756038280679</c:v>
                </c:pt>
                <c:pt idx="58">
                  <c:v>-7.3809523809523867</c:v>
                </c:pt>
                <c:pt idx="59">
                  <c:v>-1.0739130434782638</c:v>
                </c:pt>
                <c:pt idx="60">
                  <c:v>4.2260869565217405</c:v>
                </c:pt>
                <c:pt idx="61">
                  <c:v>-2.0739130434782638</c:v>
                </c:pt>
                <c:pt idx="62">
                  <c:v>6.9190476190476105</c:v>
                </c:pt>
              </c:numCache>
            </c:numRef>
          </c:yVal>
          <c:smooth val="0"/>
          <c:extLst>
            <c:ext xmlns:c16="http://schemas.microsoft.com/office/drawing/2014/chart" uri="{C3380CC4-5D6E-409C-BE32-E72D297353CC}">
              <c16:uniqueId val="{00000001-8FB2-4685-8923-5B887E19CF93}"/>
            </c:ext>
          </c:extLst>
        </c:ser>
        <c:dLbls>
          <c:showLegendKey val="0"/>
          <c:showVal val="0"/>
          <c:showCatName val="0"/>
          <c:showSerName val="0"/>
          <c:showPercent val="0"/>
          <c:showBubbleSize val="0"/>
        </c:dLbls>
        <c:axId val="1235965424"/>
        <c:axId val="1235962064"/>
      </c:scatterChart>
      <c:valAx>
        <c:axId val="1235965424"/>
        <c:scaling>
          <c:orientation val="minMax"/>
        </c:scaling>
        <c:delete val="0"/>
        <c:axPos val="b"/>
        <c:title>
          <c:tx>
            <c:rich>
              <a:bodyPr/>
              <a:lstStyle/>
              <a:p>
                <a:pPr>
                  <a:defRPr/>
                </a:pPr>
                <a:r>
                  <a:rPr lang="en-SG"/>
                  <a:t>Biodiverse_planting</a:t>
                </a:r>
              </a:p>
            </c:rich>
          </c:tx>
          <c:overlay val="0"/>
        </c:title>
        <c:numFmt formatCode="General" sourceLinked="1"/>
        <c:majorTickMark val="out"/>
        <c:minorTickMark val="none"/>
        <c:tickLblPos val="nextTo"/>
        <c:crossAx val="1235962064"/>
        <c:crosses val="autoZero"/>
        <c:crossBetween val="midCat"/>
      </c:valAx>
      <c:valAx>
        <c:axId val="1235962064"/>
        <c:scaling>
          <c:orientation val="minMax"/>
        </c:scaling>
        <c:delete val="0"/>
        <c:axPos val="l"/>
        <c:title>
          <c:tx>
            <c:rich>
              <a:bodyPr/>
              <a:lstStyle/>
              <a:p>
                <a:pPr>
                  <a:defRPr/>
                </a:pPr>
                <a:r>
                  <a:rPr lang="en-SG"/>
                  <a:t>Residuals</a:t>
                </a:r>
              </a:p>
            </c:rich>
          </c:tx>
          <c:overlay val="0"/>
        </c:title>
        <c:numFmt formatCode="General" sourceLinked="1"/>
        <c:majorTickMark val="out"/>
        <c:minorTickMark val="none"/>
        <c:tickLblPos val="nextTo"/>
        <c:crossAx val="12359654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Reduced_mow  Residual Plot</a:t>
            </a:r>
          </a:p>
        </c:rich>
      </c:tx>
      <c:overlay val="0"/>
    </c:title>
    <c:autoTitleDeleted val="0"/>
    <c:plotArea>
      <c:layout/>
      <c:scatterChart>
        <c:scatterStyle val="lineMarker"/>
        <c:varyColors val="0"/>
        <c:ser>
          <c:idx val="0"/>
          <c:order val="0"/>
          <c:spPr>
            <a:ln w="28575">
              <a:noFill/>
            </a:ln>
          </c:spPr>
          <c:xVal>
            <c:numRef>
              <c:f>Data3!$D$2:$D$64</c:f>
              <c:numCache>
                <c:formatCode>General</c:formatCode>
                <c:ptCount val="63"/>
                <c:pt idx="0">
                  <c:v>0</c:v>
                </c:pt>
                <c:pt idx="1">
                  <c:v>1</c:v>
                </c:pt>
                <c:pt idx="2">
                  <c:v>0</c:v>
                </c:pt>
                <c:pt idx="3">
                  <c:v>1</c:v>
                </c:pt>
                <c:pt idx="4">
                  <c:v>0</c:v>
                </c:pt>
                <c:pt idx="5">
                  <c:v>0</c:v>
                </c:pt>
                <c:pt idx="6">
                  <c:v>0</c:v>
                </c:pt>
                <c:pt idx="7">
                  <c:v>0</c:v>
                </c:pt>
                <c:pt idx="8">
                  <c:v>1</c:v>
                </c:pt>
                <c:pt idx="9">
                  <c:v>0</c:v>
                </c:pt>
                <c:pt idx="10">
                  <c:v>1</c:v>
                </c:pt>
                <c:pt idx="11">
                  <c:v>0</c:v>
                </c:pt>
                <c:pt idx="12">
                  <c:v>0</c:v>
                </c:pt>
                <c:pt idx="13">
                  <c:v>0</c:v>
                </c:pt>
                <c:pt idx="14">
                  <c:v>0</c:v>
                </c:pt>
                <c:pt idx="15">
                  <c:v>0</c:v>
                </c:pt>
                <c:pt idx="16">
                  <c:v>0</c:v>
                </c:pt>
                <c:pt idx="17">
                  <c:v>0</c:v>
                </c:pt>
                <c:pt idx="18">
                  <c:v>1</c:v>
                </c:pt>
                <c:pt idx="19">
                  <c:v>0</c:v>
                </c:pt>
                <c:pt idx="20">
                  <c:v>0</c:v>
                </c:pt>
                <c:pt idx="21">
                  <c:v>0</c:v>
                </c:pt>
                <c:pt idx="22">
                  <c:v>1</c:v>
                </c:pt>
                <c:pt idx="23">
                  <c:v>0</c:v>
                </c:pt>
                <c:pt idx="24">
                  <c:v>0</c:v>
                </c:pt>
                <c:pt idx="25">
                  <c:v>0</c:v>
                </c:pt>
                <c:pt idx="26">
                  <c:v>0</c:v>
                </c:pt>
                <c:pt idx="27">
                  <c:v>1</c:v>
                </c:pt>
                <c:pt idx="28">
                  <c:v>0</c:v>
                </c:pt>
                <c:pt idx="29">
                  <c:v>1</c:v>
                </c:pt>
                <c:pt idx="30">
                  <c:v>0</c:v>
                </c:pt>
                <c:pt idx="31">
                  <c:v>0</c:v>
                </c:pt>
                <c:pt idx="32">
                  <c:v>0</c:v>
                </c:pt>
                <c:pt idx="33">
                  <c:v>0</c:v>
                </c:pt>
                <c:pt idx="34">
                  <c:v>0</c:v>
                </c:pt>
                <c:pt idx="35">
                  <c:v>1</c:v>
                </c:pt>
                <c:pt idx="36">
                  <c:v>1</c:v>
                </c:pt>
                <c:pt idx="37">
                  <c:v>0</c:v>
                </c:pt>
                <c:pt idx="38">
                  <c:v>0</c:v>
                </c:pt>
                <c:pt idx="39">
                  <c:v>0</c:v>
                </c:pt>
                <c:pt idx="40">
                  <c:v>0</c:v>
                </c:pt>
                <c:pt idx="41">
                  <c:v>0</c:v>
                </c:pt>
                <c:pt idx="42">
                  <c:v>0</c:v>
                </c:pt>
                <c:pt idx="43">
                  <c:v>1</c:v>
                </c:pt>
                <c:pt idx="44">
                  <c:v>0</c:v>
                </c:pt>
                <c:pt idx="45">
                  <c:v>0</c:v>
                </c:pt>
                <c:pt idx="46">
                  <c:v>1</c:v>
                </c:pt>
                <c:pt idx="47">
                  <c:v>1</c:v>
                </c:pt>
                <c:pt idx="48">
                  <c:v>1</c:v>
                </c:pt>
                <c:pt idx="49">
                  <c:v>0</c:v>
                </c:pt>
                <c:pt idx="50">
                  <c:v>1</c:v>
                </c:pt>
                <c:pt idx="51">
                  <c:v>1</c:v>
                </c:pt>
                <c:pt idx="52">
                  <c:v>0</c:v>
                </c:pt>
                <c:pt idx="53">
                  <c:v>0</c:v>
                </c:pt>
                <c:pt idx="54">
                  <c:v>1</c:v>
                </c:pt>
                <c:pt idx="55">
                  <c:v>1</c:v>
                </c:pt>
                <c:pt idx="56">
                  <c:v>1</c:v>
                </c:pt>
                <c:pt idx="57">
                  <c:v>0</c:v>
                </c:pt>
                <c:pt idx="58">
                  <c:v>1</c:v>
                </c:pt>
                <c:pt idx="59">
                  <c:v>0</c:v>
                </c:pt>
                <c:pt idx="60">
                  <c:v>0</c:v>
                </c:pt>
                <c:pt idx="61">
                  <c:v>0</c:v>
                </c:pt>
                <c:pt idx="62">
                  <c:v>1</c:v>
                </c:pt>
              </c:numCache>
            </c:numRef>
          </c:xVal>
          <c:yVal>
            <c:numRef>
              <c:f>Data3!$K$30:$K$92</c:f>
              <c:numCache>
                <c:formatCode>General</c:formatCode>
                <c:ptCount val="63"/>
                <c:pt idx="0">
                  <c:v>2.2137243961719264</c:v>
                </c:pt>
                <c:pt idx="1">
                  <c:v>2.5190476190476119</c:v>
                </c:pt>
                <c:pt idx="2">
                  <c:v>10.326086956521742</c:v>
                </c:pt>
                <c:pt idx="3">
                  <c:v>4.0190476190476119</c:v>
                </c:pt>
                <c:pt idx="4">
                  <c:v>-2.3739130434782609</c:v>
                </c:pt>
                <c:pt idx="5">
                  <c:v>-7.4739130434782624</c:v>
                </c:pt>
                <c:pt idx="6">
                  <c:v>-2.7862756038280736</c:v>
                </c:pt>
                <c:pt idx="7">
                  <c:v>-14.286275603828074</c:v>
                </c:pt>
                <c:pt idx="8">
                  <c:v>-1.2809523809523853</c:v>
                </c:pt>
                <c:pt idx="9">
                  <c:v>-3.2739130434782595</c:v>
                </c:pt>
                <c:pt idx="10">
                  <c:v>-2.4809523809523881</c:v>
                </c:pt>
                <c:pt idx="11">
                  <c:v>1.8260869565217419</c:v>
                </c:pt>
                <c:pt idx="12">
                  <c:v>5.9260869565217362</c:v>
                </c:pt>
                <c:pt idx="13">
                  <c:v>2.9260869565217362</c:v>
                </c:pt>
                <c:pt idx="14">
                  <c:v>21.552960868905231</c:v>
                </c:pt>
                <c:pt idx="15">
                  <c:v>4.8137243961719278</c:v>
                </c:pt>
                <c:pt idx="16">
                  <c:v>4.5137243961719307</c:v>
                </c:pt>
                <c:pt idx="17">
                  <c:v>-10.973913043478262</c:v>
                </c:pt>
                <c:pt idx="18">
                  <c:v>-4.2809523809523853</c:v>
                </c:pt>
                <c:pt idx="19">
                  <c:v>2.9137243961719292</c:v>
                </c:pt>
                <c:pt idx="20">
                  <c:v>-6.4862756038280693</c:v>
                </c:pt>
                <c:pt idx="21">
                  <c:v>-8.7862756038280736</c:v>
                </c:pt>
                <c:pt idx="22">
                  <c:v>10.019047619047612</c:v>
                </c:pt>
                <c:pt idx="23">
                  <c:v>1.4137243961719292</c:v>
                </c:pt>
                <c:pt idx="24">
                  <c:v>-2.3862756038280679</c:v>
                </c:pt>
                <c:pt idx="25">
                  <c:v>9.4260869565217362</c:v>
                </c:pt>
                <c:pt idx="26">
                  <c:v>-5.9862756038280693</c:v>
                </c:pt>
                <c:pt idx="27">
                  <c:v>4.319047619047609</c:v>
                </c:pt>
                <c:pt idx="28">
                  <c:v>-5.2739130434782595</c:v>
                </c:pt>
                <c:pt idx="29">
                  <c:v>1.9047619047611875E-2</c:v>
                </c:pt>
                <c:pt idx="30">
                  <c:v>5.0260869565217376</c:v>
                </c:pt>
                <c:pt idx="31">
                  <c:v>14.22608695652174</c:v>
                </c:pt>
                <c:pt idx="32">
                  <c:v>6.0260869565217376</c:v>
                </c:pt>
                <c:pt idx="33">
                  <c:v>-5.7862756038280736</c:v>
                </c:pt>
                <c:pt idx="34">
                  <c:v>-0.48627560382806934</c:v>
                </c:pt>
                <c:pt idx="35">
                  <c:v>0.51904761904761187</c:v>
                </c:pt>
                <c:pt idx="36">
                  <c:v>-6.180952380952391</c:v>
                </c:pt>
                <c:pt idx="37">
                  <c:v>11.626086956521739</c:v>
                </c:pt>
                <c:pt idx="38">
                  <c:v>-3.1739130434782616</c:v>
                </c:pt>
                <c:pt idx="39">
                  <c:v>13.013724396171931</c:v>
                </c:pt>
                <c:pt idx="40">
                  <c:v>7.1137243961719321</c:v>
                </c:pt>
                <c:pt idx="41">
                  <c:v>5.3137243961719278</c:v>
                </c:pt>
                <c:pt idx="42">
                  <c:v>-12.986275603828069</c:v>
                </c:pt>
                <c:pt idx="43">
                  <c:v>-4.7809523809523853</c:v>
                </c:pt>
                <c:pt idx="44">
                  <c:v>-2.9739130434782624</c:v>
                </c:pt>
                <c:pt idx="45">
                  <c:v>-9.4739130434782624</c:v>
                </c:pt>
                <c:pt idx="46">
                  <c:v>-8.5809523809523895</c:v>
                </c:pt>
                <c:pt idx="47">
                  <c:v>5.0190476190476119</c:v>
                </c:pt>
                <c:pt idx="48">
                  <c:v>6.9190476190476105</c:v>
                </c:pt>
                <c:pt idx="49">
                  <c:v>-10.07391304347826</c:v>
                </c:pt>
                <c:pt idx="50">
                  <c:v>-3.4809523809523881</c:v>
                </c:pt>
                <c:pt idx="51">
                  <c:v>-6.0809523809523895</c:v>
                </c:pt>
                <c:pt idx="52">
                  <c:v>-4.3739130434782609</c:v>
                </c:pt>
                <c:pt idx="53">
                  <c:v>-8.9739130434782624</c:v>
                </c:pt>
                <c:pt idx="54">
                  <c:v>-0.98095238095238813</c:v>
                </c:pt>
                <c:pt idx="55">
                  <c:v>7.4190476190476105</c:v>
                </c:pt>
                <c:pt idx="56">
                  <c:v>-2.180952380952391</c:v>
                </c:pt>
                <c:pt idx="57">
                  <c:v>-2.8862756038280679</c:v>
                </c:pt>
                <c:pt idx="58">
                  <c:v>-7.3809523809523867</c:v>
                </c:pt>
                <c:pt idx="59">
                  <c:v>-1.0739130434782638</c:v>
                </c:pt>
                <c:pt idx="60">
                  <c:v>4.2260869565217405</c:v>
                </c:pt>
                <c:pt idx="61">
                  <c:v>-2.0739130434782638</c:v>
                </c:pt>
                <c:pt idx="62">
                  <c:v>6.9190476190476105</c:v>
                </c:pt>
              </c:numCache>
            </c:numRef>
          </c:yVal>
          <c:smooth val="0"/>
          <c:extLst>
            <c:ext xmlns:c16="http://schemas.microsoft.com/office/drawing/2014/chart" uri="{C3380CC4-5D6E-409C-BE32-E72D297353CC}">
              <c16:uniqueId val="{00000001-4417-41BC-8C09-74ACF121AF63}"/>
            </c:ext>
          </c:extLst>
        </c:ser>
        <c:dLbls>
          <c:showLegendKey val="0"/>
          <c:showVal val="0"/>
          <c:showCatName val="0"/>
          <c:showSerName val="0"/>
          <c:showPercent val="0"/>
          <c:showBubbleSize val="0"/>
        </c:dLbls>
        <c:axId val="828034128"/>
        <c:axId val="828034608"/>
      </c:scatterChart>
      <c:valAx>
        <c:axId val="828034128"/>
        <c:scaling>
          <c:orientation val="minMax"/>
        </c:scaling>
        <c:delete val="0"/>
        <c:axPos val="b"/>
        <c:title>
          <c:tx>
            <c:rich>
              <a:bodyPr/>
              <a:lstStyle/>
              <a:p>
                <a:pPr>
                  <a:defRPr/>
                </a:pPr>
                <a:r>
                  <a:rPr lang="en-SG"/>
                  <a:t>Reduced_mow</a:t>
                </a:r>
              </a:p>
            </c:rich>
          </c:tx>
          <c:overlay val="0"/>
        </c:title>
        <c:numFmt formatCode="General" sourceLinked="1"/>
        <c:majorTickMark val="out"/>
        <c:minorTickMark val="none"/>
        <c:tickLblPos val="nextTo"/>
        <c:crossAx val="828034608"/>
        <c:crosses val="autoZero"/>
        <c:crossBetween val="midCat"/>
      </c:valAx>
      <c:valAx>
        <c:axId val="828034608"/>
        <c:scaling>
          <c:orientation val="minMax"/>
        </c:scaling>
        <c:delete val="0"/>
        <c:axPos val="l"/>
        <c:title>
          <c:tx>
            <c:rich>
              <a:bodyPr/>
              <a:lstStyle/>
              <a:p>
                <a:pPr>
                  <a:defRPr/>
                </a:pPr>
                <a:r>
                  <a:rPr lang="en-SG"/>
                  <a:t>Residuals</a:t>
                </a:r>
              </a:p>
            </c:rich>
          </c:tx>
          <c:overlay val="0"/>
        </c:title>
        <c:numFmt formatCode="General" sourceLinked="1"/>
        <c:majorTickMark val="out"/>
        <c:minorTickMark val="none"/>
        <c:tickLblPos val="nextTo"/>
        <c:crossAx val="8280341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Normal Probability Plot</a:t>
            </a:r>
          </a:p>
        </c:rich>
      </c:tx>
      <c:overlay val="0"/>
    </c:title>
    <c:autoTitleDeleted val="0"/>
    <c:plotArea>
      <c:layout/>
      <c:scatterChart>
        <c:scatterStyle val="lineMarker"/>
        <c:varyColors val="0"/>
        <c:ser>
          <c:idx val="0"/>
          <c:order val="0"/>
          <c:spPr>
            <a:ln w="28575">
              <a:noFill/>
            </a:ln>
          </c:spPr>
          <c:xVal>
            <c:numRef>
              <c:f>Data3!$M$30:$M$92</c:f>
              <c:numCache>
                <c:formatCode>General</c:formatCode>
                <c:ptCount val="63"/>
                <c:pt idx="0">
                  <c:v>0.79365079365079361</c:v>
                </c:pt>
                <c:pt idx="1">
                  <c:v>2.3809523809523809</c:v>
                </c:pt>
                <c:pt idx="2">
                  <c:v>3.9682539682539679</c:v>
                </c:pt>
                <c:pt idx="3">
                  <c:v>5.5555555555555554</c:v>
                </c:pt>
                <c:pt idx="4">
                  <c:v>7.1428571428571423</c:v>
                </c:pt>
                <c:pt idx="5">
                  <c:v>8.7301587301587293</c:v>
                </c:pt>
                <c:pt idx="6">
                  <c:v>10.317460317460318</c:v>
                </c:pt>
                <c:pt idx="7">
                  <c:v>11.904761904761905</c:v>
                </c:pt>
                <c:pt idx="8">
                  <c:v>13.492063492063492</c:v>
                </c:pt>
                <c:pt idx="9">
                  <c:v>15.079365079365079</c:v>
                </c:pt>
                <c:pt idx="10">
                  <c:v>16.666666666666664</c:v>
                </c:pt>
                <c:pt idx="11">
                  <c:v>18.253968253968253</c:v>
                </c:pt>
                <c:pt idx="12">
                  <c:v>19.841269841269842</c:v>
                </c:pt>
                <c:pt idx="13">
                  <c:v>21.428571428571427</c:v>
                </c:pt>
                <c:pt idx="14">
                  <c:v>23.015873015873016</c:v>
                </c:pt>
                <c:pt idx="15">
                  <c:v>24.603174603174601</c:v>
                </c:pt>
                <c:pt idx="16">
                  <c:v>26.19047619047619</c:v>
                </c:pt>
                <c:pt idx="17">
                  <c:v>27.777777777777779</c:v>
                </c:pt>
                <c:pt idx="18">
                  <c:v>29.365079365079364</c:v>
                </c:pt>
                <c:pt idx="19">
                  <c:v>30.952380952380953</c:v>
                </c:pt>
                <c:pt idx="20">
                  <c:v>32.539682539682538</c:v>
                </c:pt>
                <c:pt idx="21">
                  <c:v>34.126984126984119</c:v>
                </c:pt>
                <c:pt idx="22">
                  <c:v>35.714285714285708</c:v>
                </c:pt>
                <c:pt idx="23">
                  <c:v>37.301587301587297</c:v>
                </c:pt>
                <c:pt idx="24">
                  <c:v>38.888888888888886</c:v>
                </c:pt>
                <c:pt idx="25">
                  <c:v>40.476190476190474</c:v>
                </c:pt>
                <c:pt idx="26">
                  <c:v>42.063492063492056</c:v>
                </c:pt>
                <c:pt idx="27">
                  <c:v>43.650793650793645</c:v>
                </c:pt>
                <c:pt idx="28">
                  <c:v>45.238095238095234</c:v>
                </c:pt>
                <c:pt idx="29">
                  <c:v>46.825396825396822</c:v>
                </c:pt>
                <c:pt idx="30">
                  <c:v>48.412698412698404</c:v>
                </c:pt>
                <c:pt idx="31">
                  <c:v>49.999999999999993</c:v>
                </c:pt>
                <c:pt idx="32">
                  <c:v>51.587301587301582</c:v>
                </c:pt>
                <c:pt idx="33">
                  <c:v>53.17460317460317</c:v>
                </c:pt>
                <c:pt idx="34">
                  <c:v>54.761904761904759</c:v>
                </c:pt>
                <c:pt idx="35">
                  <c:v>56.349206349206341</c:v>
                </c:pt>
                <c:pt idx="36">
                  <c:v>57.93650793650793</c:v>
                </c:pt>
                <c:pt idx="37">
                  <c:v>59.523809523809518</c:v>
                </c:pt>
                <c:pt idx="38">
                  <c:v>61.111111111111107</c:v>
                </c:pt>
                <c:pt idx="39">
                  <c:v>62.698412698412689</c:v>
                </c:pt>
                <c:pt idx="40">
                  <c:v>64.285714285714278</c:v>
                </c:pt>
                <c:pt idx="41">
                  <c:v>65.873015873015873</c:v>
                </c:pt>
                <c:pt idx="42">
                  <c:v>67.460317460317455</c:v>
                </c:pt>
                <c:pt idx="43">
                  <c:v>69.047619047619051</c:v>
                </c:pt>
                <c:pt idx="44">
                  <c:v>70.634920634920633</c:v>
                </c:pt>
                <c:pt idx="45">
                  <c:v>72.222222222222229</c:v>
                </c:pt>
                <c:pt idx="46">
                  <c:v>73.80952380952381</c:v>
                </c:pt>
                <c:pt idx="47">
                  <c:v>75.396825396825392</c:v>
                </c:pt>
                <c:pt idx="48">
                  <c:v>76.984126984126988</c:v>
                </c:pt>
                <c:pt idx="49">
                  <c:v>78.571428571428569</c:v>
                </c:pt>
                <c:pt idx="50">
                  <c:v>80.158730158730165</c:v>
                </c:pt>
                <c:pt idx="51">
                  <c:v>81.746031746031747</c:v>
                </c:pt>
                <c:pt idx="52">
                  <c:v>83.333333333333329</c:v>
                </c:pt>
                <c:pt idx="53">
                  <c:v>84.920634920634924</c:v>
                </c:pt>
                <c:pt idx="54">
                  <c:v>86.507936507936506</c:v>
                </c:pt>
                <c:pt idx="55">
                  <c:v>88.095238095238088</c:v>
                </c:pt>
                <c:pt idx="56">
                  <c:v>89.682539682539684</c:v>
                </c:pt>
                <c:pt idx="57">
                  <c:v>91.269841269841265</c:v>
                </c:pt>
                <c:pt idx="58">
                  <c:v>92.857142857142861</c:v>
                </c:pt>
                <c:pt idx="59">
                  <c:v>94.444444444444443</c:v>
                </c:pt>
                <c:pt idx="60">
                  <c:v>96.031746031746025</c:v>
                </c:pt>
                <c:pt idx="61">
                  <c:v>97.61904761904762</c:v>
                </c:pt>
                <c:pt idx="62">
                  <c:v>99.206349206349202</c:v>
                </c:pt>
              </c:numCache>
            </c:numRef>
          </c:xVal>
          <c:yVal>
            <c:numRef>
              <c:f>Data3!$N$30:$N$92</c:f>
              <c:numCache>
                <c:formatCode>General</c:formatCode>
                <c:ptCount val="63"/>
                <c:pt idx="0">
                  <c:v>23.9</c:v>
                </c:pt>
                <c:pt idx="1">
                  <c:v>24.8</c:v>
                </c:pt>
                <c:pt idx="2">
                  <c:v>25.4</c:v>
                </c:pt>
                <c:pt idx="3">
                  <c:v>25.9</c:v>
                </c:pt>
                <c:pt idx="4">
                  <c:v>27.4</c:v>
                </c:pt>
                <c:pt idx="5">
                  <c:v>29.6</c:v>
                </c:pt>
                <c:pt idx="6">
                  <c:v>30.5</c:v>
                </c:pt>
                <c:pt idx="7">
                  <c:v>30.9</c:v>
                </c:pt>
                <c:pt idx="8">
                  <c:v>31.6</c:v>
                </c:pt>
                <c:pt idx="9">
                  <c:v>31.7</c:v>
                </c:pt>
                <c:pt idx="10">
                  <c:v>31.9</c:v>
                </c:pt>
                <c:pt idx="11">
                  <c:v>32.1</c:v>
                </c:pt>
                <c:pt idx="12">
                  <c:v>32.5</c:v>
                </c:pt>
                <c:pt idx="13">
                  <c:v>32.799999999999997</c:v>
                </c:pt>
                <c:pt idx="14">
                  <c:v>33.299999999999997</c:v>
                </c:pt>
                <c:pt idx="15">
                  <c:v>33.299999999999997</c:v>
                </c:pt>
                <c:pt idx="16">
                  <c:v>33.4</c:v>
                </c:pt>
                <c:pt idx="17">
                  <c:v>33.799999999999997</c:v>
                </c:pt>
                <c:pt idx="18">
                  <c:v>34.6</c:v>
                </c:pt>
                <c:pt idx="19">
                  <c:v>34.700000000000003</c:v>
                </c:pt>
                <c:pt idx="20">
                  <c:v>35.200000000000003</c:v>
                </c:pt>
                <c:pt idx="21">
                  <c:v>36</c:v>
                </c:pt>
                <c:pt idx="22">
                  <c:v>36.700000000000003</c:v>
                </c:pt>
                <c:pt idx="23">
                  <c:v>37</c:v>
                </c:pt>
                <c:pt idx="24">
                  <c:v>37.299999999999997</c:v>
                </c:pt>
                <c:pt idx="25">
                  <c:v>37.799999999999997</c:v>
                </c:pt>
                <c:pt idx="26">
                  <c:v>38.200000000000003</c:v>
                </c:pt>
                <c:pt idx="27">
                  <c:v>38.5</c:v>
                </c:pt>
                <c:pt idx="28">
                  <c:v>38.799999999999997</c:v>
                </c:pt>
                <c:pt idx="29">
                  <c:v>39.1</c:v>
                </c:pt>
                <c:pt idx="30">
                  <c:v>39.5</c:v>
                </c:pt>
                <c:pt idx="31">
                  <c:v>39.9</c:v>
                </c:pt>
                <c:pt idx="32">
                  <c:v>40</c:v>
                </c:pt>
                <c:pt idx="33">
                  <c:v>40.799999999999997</c:v>
                </c:pt>
                <c:pt idx="34">
                  <c:v>40.9</c:v>
                </c:pt>
                <c:pt idx="35">
                  <c:v>41.1</c:v>
                </c:pt>
                <c:pt idx="36">
                  <c:v>41.6</c:v>
                </c:pt>
                <c:pt idx="37">
                  <c:v>41.8</c:v>
                </c:pt>
                <c:pt idx="38">
                  <c:v>42</c:v>
                </c:pt>
                <c:pt idx="39">
                  <c:v>43.5</c:v>
                </c:pt>
                <c:pt idx="40">
                  <c:v>43.8</c:v>
                </c:pt>
                <c:pt idx="41">
                  <c:v>44.3</c:v>
                </c:pt>
                <c:pt idx="42">
                  <c:v>44.5</c:v>
                </c:pt>
                <c:pt idx="43">
                  <c:v>44.7</c:v>
                </c:pt>
                <c:pt idx="44">
                  <c:v>44.8</c:v>
                </c:pt>
                <c:pt idx="45">
                  <c:v>45.2</c:v>
                </c:pt>
                <c:pt idx="46">
                  <c:v>45.2</c:v>
                </c:pt>
                <c:pt idx="47">
                  <c:v>46.4</c:v>
                </c:pt>
                <c:pt idx="48">
                  <c:v>46.4</c:v>
                </c:pt>
                <c:pt idx="49">
                  <c:v>46.5</c:v>
                </c:pt>
                <c:pt idx="50">
                  <c:v>46.9</c:v>
                </c:pt>
                <c:pt idx="51">
                  <c:v>47.1</c:v>
                </c:pt>
                <c:pt idx="52">
                  <c:v>49</c:v>
                </c:pt>
                <c:pt idx="53">
                  <c:v>49.1</c:v>
                </c:pt>
                <c:pt idx="54">
                  <c:v>49.5</c:v>
                </c:pt>
                <c:pt idx="55">
                  <c:v>49.8</c:v>
                </c:pt>
                <c:pt idx="56">
                  <c:v>50.5</c:v>
                </c:pt>
                <c:pt idx="57">
                  <c:v>52.1</c:v>
                </c:pt>
                <c:pt idx="58">
                  <c:v>52.4</c:v>
                </c:pt>
                <c:pt idx="59">
                  <c:v>52.9</c:v>
                </c:pt>
                <c:pt idx="60">
                  <c:v>54.7</c:v>
                </c:pt>
                <c:pt idx="61">
                  <c:v>60.6</c:v>
                </c:pt>
                <c:pt idx="62">
                  <c:v>69.139236472733302</c:v>
                </c:pt>
              </c:numCache>
            </c:numRef>
          </c:yVal>
          <c:smooth val="0"/>
          <c:extLst>
            <c:ext xmlns:c16="http://schemas.microsoft.com/office/drawing/2014/chart" uri="{C3380CC4-5D6E-409C-BE32-E72D297353CC}">
              <c16:uniqueId val="{00000001-3D93-491F-A7E7-AEBD56BF807C}"/>
            </c:ext>
          </c:extLst>
        </c:ser>
        <c:dLbls>
          <c:showLegendKey val="0"/>
          <c:showVal val="0"/>
          <c:showCatName val="0"/>
          <c:showSerName val="0"/>
          <c:showPercent val="0"/>
          <c:showBubbleSize val="0"/>
        </c:dLbls>
        <c:axId val="824042688"/>
        <c:axId val="824038848"/>
      </c:scatterChart>
      <c:valAx>
        <c:axId val="824042688"/>
        <c:scaling>
          <c:orientation val="minMax"/>
        </c:scaling>
        <c:delete val="0"/>
        <c:axPos val="b"/>
        <c:title>
          <c:tx>
            <c:rich>
              <a:bodyPr/>
              <a:lstStyle/>
              <a:p>
                <a:pPr>
                  <a:defRPr/>
                </a:pPr>
                <a:r>
                  <a:rPr lang="en-SG"/>
                  <a:t>Sample Percentile</a:t>
                </a:r>
              </a:p>
            </c:rich>
          </c:tx>
          <c:overlay val="0"/>
        </c:title>
        <c:numFmt formatCode="General" sourceLinked="1"/>
        <c:majorTickMark val="out"/>
        <c:minorTickMark val="none"/>
        <c:tickLblPos val="nextTo"/>
        <c:crossAx val="824038848"/>
        <c:crosses val="autoZero"/>
        <c:crossBetween val="midCat"/>
      </c:valAx>
      <c:valAx>
        <c:axId val="824038848"/>
        <c:scaling>
          <c:orientation val="minMax"/>
        </c:scaling>
        <c:delete val="0"/>
        <c:axPos val="l"/>
        <c:title>
          <c:tx>
            <c:rich>
              <a:bodyPr/>
              <a:lstStyle/>
              <a:p>
                <a:pPr>
                  <a:defRPr/>
                </a:pPr>
                <a:r>
                  <a:rPr lang="en-SG"/>
                  <a:t>Biodiversity_Index</a:t>
                </a:r>
              </a:p>
            </c:rich>
          </c:tx>
          <c:overlay val="0"/>
        </c:title>
        <c:numFmt formatCode="General" sourceLinked="1"/>
        <c:majorTickMark val="out"/>
        <c:minorTickMark val="none"/>
        <c:tickLblPos val="nextTo"/>
        <c:crossAx val="8240426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251460</xdr:colOff>
      <xdr:row>4</xdr:row>
      <xdr:rowOff>175260</xdr:rowOff>
    </xdr:from>
    <xdr:to>
      <xdr:col>23</xdr:col>
      <xdr:colOff>251460</xdr:colOff>
      <xdr:row>14</xdr:row>
      <xdr:rowOff>175260</xdr:rowOff>
    </xdr:to>
    <xdr:graphicFrame macro="">
      <xdr:nvGraphicFramePr>
        <xdr:cNvPr id="5" name="Chart 4">
          <a:extLst>
            <a:ext uri="{FF2B5EF4-FFF2-40B4-BE49-F238E27FC236}">
              <a16:creationId xmlns:a16="http://schemas.microsoft.com/office/drawing/2014/main" id="{59F586DB-4BC0-DB9B-4CF9-65FD92EB2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251460</xdr:colOff>
      <xdr:row>6</xdr:row>
      <xdr:rowOff>175260</xdr:rowOff>
    </xdr:from>
    <xdr:to>
      <xdr:col>24</xdr:col>
      <xdr:colOff>251460</xdr:colOff>
      <xdr:row>16</xdr:row>
      <xdr:rowOff>175260</xdr:rowOff>
    </xdr:to>
    <xdr:graphicFrame macro="">
      <xdr:nvGraphicFramePr>
        <xdr:cNvPr id="6" name="Chart 5">
          <a:extLst>
            <a:ext uri="{FF2B5EF4-FFF2-40B4-BE49-F238E27FC236}">
              <a16:creationId xmlns:a16="http://schemas.microsoft.com/office/drawing/2014/main" id="{5BE2922C-AD7E-C61A-BBF1-1BD3957C5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251460</xdr:colOff>
      <xdr:row>8</xdr:row>
      <xdr:rowOff>175260</xdr:rowOff>
    </xdr:from>
    <xdr:to>
      <xdr:col>25</xdr:col>
      <xdr:colOff>251460</xdr:colOff>
      <xdr:row>18</xdr:row>
      <xdr:rowOff>175260</xdr:rowOff>
    </xdr:to>
    <xdr:graphicFrame macro="">
      <xdr:nvGraphicFramePr>
        <xdr:cNvPr id="7" name="Chart 6">
          <a:extLst>
            <a:ext uri="{FF2B5EF4-FFF2-40B4-BE49-F238E27FC236}">
              <a16:creationId xmlns:a16="http://schemas.microsoft.com/office/drawing/2014/main" id="{FCC060CD-8468-2986-7900-4BBFEF57C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zdata" displayName="tzdata" ref="A1:B70" totalsRowShown="0">
  <autoFilter ref="A1:B70" xr:uid="{00000000-0009-0000-0100-000003000000}"/>
  <tableColumns count="2">
    <tableColumn id="1" xr3:uid="{00000000-0010-0000-0000-000001000000}" name="Outlet_ID"/>
    <tableColumn id="2" xr3:uid="{00000000-0010-0000-0000-000002000000}" name="Nitrate_mg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pairdata" displayName="tpairdata" ref="A1:C40" totalsRowShown="0">
  <autoFilter ref="A1:C40" xr:uid="{00000000-0009-0000-0100-000004000000}"/>
  <tableColumns count="3">
    <tableColumn id="1" xr3:uid="{00000000-0010-0000-0100-000001000000}" name="Facility_ID"/>
    <tableColumn id="2" xr3:uid="{00000000-0010-0000-0100-000002000000}" name="Before_kWhDay"/>
    <tableColumn id="3" xr3:uid="{00000000-0010-0000-0100-000003000000}" name="After_kWhDa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lmdata" displayName="tlmdata" ref="A1:E64" totalsRowShown="0">
  <autoFilter ref="A1:E64" xr:uid="{00000000-0009-0000-0100-000005000000}"/>
  <tableColumns count="5">
    <tableColumn id="1" xr3:uid="{00000000-0010-0000-0200-000001000000}" name="Site_ID"/>
    <tableColumn id="2" xr3:uid="{00000000-0010-0000-0200-000002000000}" name="Management_Regime"/>
    <tableColumn id="4" xr3:uid="{47EC16BE-F274-478F-8D31-48446BD5AD98}" name="Biodiverse_planting" dataDxfId="1">
      <calculatedColumnFormula>IF(tlmdata[[#This Row],[Management_Regime]]=tlmdata[[#Headers],[Biodiverse_planting]],1,0)</calculatedColumnFormula>
    </tableColumn>
    <tableColumn id="5" xr3:uid="{176138F3-2BA5-4E60-BFC9-D509691A0B46}" name="Reduced_mow" dataDxfId="0">
      <calculatedColumnFormula>IF(tlmdata[[#This Row],[Management_Regime]]=tlmdata[[#Headers],[Reduced_mow]],1,0)</calculatedColumnFormula>
    </tableColumn>
    <tableColumn id="3" xr3:uid="{00000000-0010-0000-0200-000003000000}" name="Biodiversity_Index"/>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6AB0-6A48-4A36-9BFC-9A613170FEA3}">
  <dimension ref="A1:C4"/>
  <sheetViews>
    <sheetView workbookViewId="0">
      <selection activeCell="F2" sqref="F2"/>
    </sheetView>
  </sheetViews>
  <sheetFormatPr defaultRowHeight="14.4" x14ac:dyDescent="0.3"/>
  <cols>
    <col min="1" max="1" width="7.33203125" bestFit="1" customWidth="1"/>
    <col min="2" max="2" width="46.6640625" customWidth="1"/>
  </cols>
  <sheetData>
    <row r="1" spans="1:3" x14ac:dyDescent="0.3">
      <c r="A1" s="8" t="s">
        <v>271</v>
      </c>
      <c r="B1" s="8" t="s">
        <v>272</v>
      </c>
      <c r="C1" s="9"/>
    </row>
    <row r="2" spans="1:3" ht="187.2" x14ac:dyDescent="0.3">
      <c r="A2" s="8" t="s">
        <v>273</v>
      </c>
      <c r="B2" s="10" t="s">
        <v>274</v>
      </c>
      <c r="C2" s="9"/>
    </row>
    <row r="3" spans="1:3" ht="216" x14ac:dyDescent="0.3">
      <c r="A3" s="8" t="s">
        <v>275</v>
      </c>
      <c r="B3" s="10" t="s">
        <v>276</v>
      </c>
      <c r="C3" s="9"/>
    </row>
    <row r="4" spans="1:3" ht="259.2" x14ac:dyDescent="0.3">
      <c r="A4" s="8" t="s">
        <v>277</v>
      </c>
      <c r="B4" s="10" t="s">
        <v>278</v>
      </c>
      <c r="C4"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0"/>
  <sheetViews>
    <sheetView workbookViewId="0"/>
  </sheetViews>
  <sheetFormatPr defaultColWidth="11.5546875" defaultRowHeight="14.4" x14ac:dyDescent="0.3"/>
  <sheetData>
    <row r="1" spans="1:2" x14ac:dyDescent="0.3">
      <c r="A1" t="s">
        <v>0</v>
      </c>
      <c r="B1" t="s">
        <v>1</v>
      </c>
    </row>
    <row r="2" spans="1:2" x14ac:dyDescent="0.3">
      <c r="A2" t="s">
        <v>2</v>
      </c>
      <c r="B2">
        <v>15.54</v>
      </c>
    </row>
    <row r="3" spans="1:2" x14ac:dyDescent="0.3">
      <c r="A3" t="s">
        <v>3</v>
      </c>
      <c r="B3">
        <v>8.5399999999999991</v>
      </c>
    </row>
    <row r="4" spans="1:2" x14ac:dyDescent="0.3">
      <c r="A4" t="s">
        <v>4</v>
      </c>
      <c r="B4">
        <v>11.14</v>
      </c>
    </row>
    <row r="5" spans="1:2" x14ac:dyDescent="0.3">
      <c r="A5" t="s">
        <v>5</v>
      </c>
      <c r="B5">
        <v>10.24</v>
      </c>
    </row>
    <row r="6" spans="1:2" x14ac:dyDescent="0.3">
      <c r="A6" t="s">
        <v>6</v>
      </c>
      <c r="B6">
        <v>9.1199999999999992</v>
      </c>
    </row>
    <row r="7" spans="1:2" x14ac:dyDescent="0.3">
      <c r="A7" t="s">
        <v>2</v>
      </c>
      <c r="B7">
        <v>10.220000000000001</v>
      </c>
    </row>
    <row r="8" spans="1:2" x14ac:dyDescent="0.3">
      <c r="A8" t="s">
        <v>7</v>
      </c>
      <c r="B8">
        <v>11</v>
      </c>
    </row>
    <row r="9" spans="1:2" x14ac:dyDescent="0.3">
      <c r="A9" t="s">
        <v>8</v>
      </c>
      <c r="B9">
        <v>5.97</v>
      </c>
    </row>
    <row r="10" spans="1:2" x14ac:dyDescent="0.3">
      <c r="A10" t="s">
        <v>9</v>
      </c>
      <c r="B10">
        <v>10.11</v>
      </c>
    </row>
    <row r="11" spans="1:2" x14ac:dyDescent="0.3">
      <c r="A11" t="s">
        <v>10</v>
      </c>
      <c r="B11">
        <v>18.07</v>
      </c>
    </row>
    <row r="12" spans="1:2" x14ac:dyDescent="0.3">
      <c r="A12" t="s">
        <v>11</v>
      </c>
      <c r="B12">
        <v>11.17</v>
      </c>
    </row>
    <row r="13" spans="1:2" x14ac:dyDescent="0.3">
      <c r="A13" t="s">
        <v>12</v>
      </c>
      <c r="B13">
        <v>11.87</v>
      </c>
    </row>
    <row r="14" spans="1:2" x14ac:dyDescent="0.3">
      <c r="A14" t="s">
        <v>13</v>
      </c>
      <c r="B14">
        <v>12.26</v>
      </c>
    </row>
    <row r="15" spans="1:2" x14ac:dyDescent="0.3">
      <c r="A15" t="s">
        <v>14</v>
      </c>
      <c r="B15">
        <v>13.94</v>
      </c>
    </row>
    <row r="16" spans="1:2" x14ac:dyDescent="0.3">
      <c r="A16" t="s">
        <v>15</v>
      </c>
      <c r="B16">
        <v>14.98</v>
      </c>
    </row>
    <row r="17" spans="1:2" x14ac:dyDescent="0.3">
      <c r="A17" t="s">
        <v>16</v>
      </c>
      <c r="B17">
        <v>11.57</v>
      </c>
    </row>
    <row r="18" spans="1:2" x14ac:dyDescent="0.3">
      <c r="A18" t="s">
        <v>17</v>
      </c>
      <c r="B18">
        <v>7.81</v>
      </c>
    </row>
    <row r="19" spans="1:2" x14ac:dyDescent="0.3">
      <c r="A19" t="s">
        <v>18</v>
      </c>
      <c r="B19">
        <v>8.36</v>
      </c>
    </row>
    <row r="20" spans="1:2" x14ac:dyDescent="0.3">
      <c r="A20" t="s">
        <v>19</v>
      </c>
      <c r="B20">
        <v>9.1199999999999992</v>
      </c>
    </row>
    <row r="21" spans="1:2" x14ac:dyDescent="0.3">
      <c r="A21" t="s">
        <v>20</v>
      </c>
      <c r="B21">
        <v>11.22</v>
      </c>
    </row>
    <row r="22" spans="1:2" x14ac:dyDescent="0.3">
      <c r="A22" t="s">
        <v>21</v>
      </c>
      <c r="B22">
        <v>7.99</v>
      </c>
    </row>
    <row r="23" spans="1:2" x14ac:dyDescent="0.3">
      <c r="A23" t="s">
        <v>22</v>
      </c>
      <c r="B23">
        <v>10.26</v>
      </c>
    </row>
    <row r="24" spans="1:2" x14ac:dyDescent="0.3">
      <c r="A24" t="s">
        <v>23</v>
      </c>
      <c r="B24">
        <v>13.35</v>
      </c>
    </row>
    <row r="25" spans="1:2" x14ac:dyDescent="0.3">
      <c r="A25" t="s">
        <v>24</v>
      </c>
      <c r="B25">
        <v>8.89</v>
      </c>
    </row>
    <row r="26" spans="1:2" x14ac:dyDescent="0.3">
      <c r="A26" t="s">
        <v>25</v>
      </c>
      <c r="B26">
        <v>9.4499999999999993</v>
      </c>
    </row>
    <row r="27" spans="1:2" x14ac:dyDescent="0.3">
      <c r="A27" t="s">
        <v>26</v>
      </c>
      <c r="B27">
        <v>10.210000000000001</v>
      </c>
    </row>
    <row r="28" spans="1:2" x14ac:dyDescent="0.3">
      <c r="A28" t="s">
        <v>27</v>
      </c>
      <c r="B28">
        <v>9.7899999999999991</v>
      </c>
    </row>
    <row r="29" spans="1:2" x14ac:dyDescent="0.3">
      <c r="A29" t="s">
        <v>28</v>
      </c>
      <c r="B29">
        <v>12.93</v>
      </c>
    </row>
    <row r="30" spans="1:2" x14ac:dyDescent="0.3">
      <c r="A30" t="s">
        <v>29</v>
      </c>
      <c r="B30">
        <v>9.7799999999999994</v>
      </c>
    </row>
    <row r="31" spans="1:2" x14ac:dyDescent="0.3">
      <c r="A31" t="s">
        <v>30</v>
      </c>
      <c r="B31">
        <v>11.17</v>
      </c>
    </row>
    <row r="32" spans="1:2" x14ac:dyDescent="0.3">
      <c r="A32" t="s">
        <v>31</v>
      </c>
      <c r="B32">
        <v>10.35</v>
      </c>
    </row>
    <row r="33" spans="1:2" x14ac:dyDescent="0.3">
      <c r="A33" t="s">
        <v>32</v>
      </c>
      <c r="B33">
        <v>9.76</v>
      </c>
    </row>
    <row r="34" spans="1:2" x14ac:dyDescent="0.3">
      <c r="A34" t="s">
        <v>9</v>
      </c>
      <c r="B34">
        <v>11.15</v>
      </c>
    </row>
    <row r="35" spans="1:2" x14ac:dyDescent="0.3">
      <c r="A35" t="s">
        <v>33</v>
      </c>
      <c r="B35">
        <v>16.329999999999998</v>
      </c>
    </row>
    <row r="36" spans="1:2" x14ac:dyDescent="0.3">
      <c r="A36" t="s">
        <v>34</v>
      </c>
      <c r="B36">
        <v>11.31</v>
      </c>
    </row>
    <row r="37" spans="1:2" x14ac:dyDescent="0.3">
      <c r="A37" t="s">
        <v>35</v>
      </c>
      <c r="B37">
        <v>10.33</v>
      </c>
    </row>
    <row r="38" spans="1:2" x14ac:dyDescent="0.3">
      <c r="A38" t="s">
        <v>36</v>
      </c>
      <c r="B38">
        <v>9.77</v>
      </c>
    </row>
    <row r="39" spans="1:2" x14ac:dyDescent="0.3">
      <c r="A39" t="s">
        <v>37</v>
      </c>
      <c r="B39">
        <v>8.3000000000000007</v>
      </c>
    </row>
    <row r="40" spans="1:2" x14ac:dyDescent="0.3">
      <c r="A40" t="s">
        <v>38</v>
      </c>
      <c r="B40">
        <v>11.02</v>
      </c>
    </row>
    <row r="41" spans="1:2" x14ac:dyDescent="0.3">
      <c r="A41" t="s">
        <v>39</v>
      </c>
      <c r="B41">
        <v>7.22</v>
      </c>
    </row>
    <row r="42" spans="1:2" x14ac:dyDescent="0.3">
      <c r="A42" t="s">
        <v>40</v>
      </c>
      <c r="B42">
        <v>13.33</v>
      </c>
    </row>
    <row r="43" spans="1:2" x14ac:dyDescent="0.3">
      <c r="A43" t="s">
        <v>41</v>
      </c>
      <c r="B43">
        <v>8.69</v>
      </c>
    </row>
    <row r="44" spans="1:2" x14ac:dyDescent="0.3">
      <c r="A44" t="s">
        <v>42</v>
      </c>
      <c r="B44">
        <v>10.56</v>
      </c>
    </row>
    <row r="45" spans="1:2" x14ac:dyDescent="0.3">
      <c r="A45" t="s">
        <v>43</v>
      </c>
      <c r="B45">
        <v>11.54</v>
      </c>
    </row>
    <row r="46" spans="1:2" x14ac:dyDescent="0.3">
      <c r="A46" t="s">
        <v>44</v>
      </c>
      <c r="B46">
        <v>14.33</v>
      </c>
    </row>
    <row r="47" spans="1:2" x14ac:dyDescent="0.3">
      <c r="A47" t="s">
        <v>45</v>
      </c>
      <c r="B47">
        <v>12.96</v>
      </c>
    </row>
    <row r="48" spans="1:2" x14ac:dyDescent="0.3">
      <c r="A48" t="s">
        <v>46</v>
      </c>
      <c r="B48">
        <v>8.3699999999999992</v>
      </c>
    </row>
    <row r="49" spans="1:2" x14ac:dyDescent="0.3">
      <c r="A49" t="s">
        <v>47</v>
      </c>
      <c r="B49">
        <v>8.84</v>
      </c>
    </row>
    <row r="50" spans="1:2" x14ac:dyDescent="0.3">
      <c r="A50" t="s">
        <v>48</v>
      </c>
      <c r="B50">
        <v>11.49</v>
      </c>
    </row>
    <row r="51" spans="1:2" x14ac:dyDescent="0.3">
      <c r="A51" t="s">
        <v>49</v>
      </c>
      <c r="B51">
        <v>4.8499999999999996</v>
      </c>
    </row>
    <row r="52" spans="1:2" x14ac:dyDescent="0.3">
      <c r="A52" t="s">
        <v>50</v>
      </c>
      <c r="B52">
        <v>10.78</v>
      </c>
    </row>
    <row r="53" spans="1:2" x14ac:dyDescent="0.3">
      <c r="A53" t="s">
        <v>51</v>
      </c>
      <c r="B53">
        <v>12.24</v>
      </c>
    </row>
    <row r="54" spans="1:2" x14ac:dyDescent="0.3">
      <c r="A54" t="s">
        <v>52</v>
      </c>
      <c r="B54">
        <v>8.15</v>
      </c>
    </row>
    <row r="55" spans="1:2" x14ac:dyDescent="0.3">
      <c r="A55" t="s">
        <v>53</v>
      </c>
      <c r="B55">
        <v>14.68</v>
      </c>
    </row>
    <row r="56" spans="1:2" x14ac:dyDescent="0.3">
      <c r="A56" t="s">
        <v>54</v>
      </c>
      <c r="B56">
        <v>9.08</v>
      </c>
    </row>
    <row r="57" spans="1:2" x14ac:dyDescent="0.3">
      <c r="A57" t="s">
        <v>55</v>
      </c>
      <c r="B57">
        <v>11.03</v>
      </c>
    </row>
    <row r="58" spans="1:2" x14ac:dyDescent="0.3">
      <c r="A58" t="s">
        <v>56</v>
      </c>
      <c r="B58">
        <v>13.02</v>
      </c>
    </row>
    <row r="59" spans="1:2" x14ac:dyDescent="0.3">
      <c r="A59" t="s">
        <v>57</v>
      </c>
      <c r="B59">
        <v>13.59</v>
      </c>
    </row>
    <row r="60" spans="1:2" x14ac:dyDescent="0.3">
      <c r="A60" t="s">
        <v>58</v>
      </c>
      <c r="B60">
        <v>8.9700000000000006</v>
      </c>
    </row>
    <row r="61" spans="1:2" x14ac:dyDescent="0.3">
      <c r="A61" t="s">
        <v>59</v>
      </c>
      <c r="B61">
        <v>11.03</v>
      </c>
    </row>
    <row r="62" spans="1:2" x14ac:dyDescent="0.3">
      <c r="A62" t="s">
        <v>60</v>
      </c>
      <c r="B62">
        <v>11.91</v>
      </c>
    </row>
    <row r="63" spans="1:2" x14ac:dyDescent="0.3">
      <c r="A63" t="s">
        <v>61</v>
      </c>
      <c r="B63">
        <v>6.41</v>
      </c>
    </row>
    <row r="64" spans="1:2" x14ac:dyDescent="0.3">
      <c r="A64" t="s">
        <v>62</v>
      </c>
      <c r="B64">
        <v>8.65</v>
      </c>
    </row>
    <row r="65" spans="1:2" x14ac:dyDescent="0.3">
      <c r="A65" t="s">
        <v>63</v>
      </c>
      <c r="B65">
        <v>10.56</v>
      </c>
    </row>
    <row r="66" spans="1:2" x14ac:dyDescent="0.3">
      <c r="A66" t="s">
        <v>64</v>
      </c>
      <c r="B66">
        <v>10.26</v>
      </c>
    </row>
    <row r="67" spans="1:2" x14ac:dyDescent="0.3">
      <c r="A67" t="s">
        <v>65</v>
      </c>
      <c r="B67">
        <v>15.93</v>
      </c>
    </row>
    <row r="68" spans="1:2" x14ac:dyDescent="0.3">
      <c r="A68" t="s">
        <v>66</v>
      </c>
      <c r="B68">
        <v>12.53</v>
      </c>
    </row>
    <row r="69" spans="1:2" x14ac:dyDescent="0.3">
      <c r="A69" t="s">
        <v>67</v>
      </c>
      <c r="B69">
        <v>14.07</v>
      </c>
    </row>
    <row r="70" spans="1:2" x14ac:dyDescent="0.3">
      <c r="A70" t="s">
        <v>68</v>
      </c>
      <c r="B70">
        <v>11.09</v>
      </c>
    </row>
  </sheetData>
  <pageMargins left="0.7" right="0.7" top="0.75" bottom="0.75" header="0.3" footer="0.3"/>
  <pageSetup paperSize="9" orientation="portrait" horizontalDpi="300" verticalDpi="300"/>
  <headerFooter>
    <oddHeader>&amp;C&amp;"Aptos"&amp;10&amp;K0000FF Academic use&amp;1#_x000D_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B1" workbookViewId="0">
      <selection activeCell="C10" sqref="C10"/>
    </sheetView>
  </sheetViews>
  <sheetFormatPr defaultColWidth="11.5546875" defaultRowHeight="14.4" x14ac:dyDescent="0.3"/>
  <cols>
    <col min="1" max="1" width="3.44140625" bestFit="1" customWidth="1"/>
    <col min="2" max="2" width="50.5546875" bestFit="1" customWidth="1"/>
    <col min="3" max="3" width="53.6640625" style="11" customWidth="1"/>
    <col min="4" max="4" width="80.5546875" bestFit="1" customWidth="1"/>
  </cols>
  <sheetData>
    <row r="1" spans="1:4" x14ac:dyDescent="0.3">
      <c r="A1" t="s">
        <v>177</v>
      </c>
      <c r="B1" t="s">
        <v>178</v>
      </c>
      <c r="C1" s="11" t="s">
        <v>179</v>
      </c>
      <c r="D1" t="s">
        <v>180</v>
      </c>
    </row>
    <row r="2" spans="1:4" x14ac:dyDescent="0.3">
      <c r="A2">
        <v>1</v>
      </c>
      <c r="B2" t="s">
        <v>264</v>
      </c>
      <c r="C2" s="11" t="s">
        <v>181</v>
      </c>
      <c r="D2" t="s">
        <v>185</v>
      </c>
    </row>
    <row r="3" spans="1:4" x14ac:dyDescent="0.3">
      <c r="A3">
        <v>2</v>
      </c>
      <c r="B3" t="s">
        <v>265</v>
      </c>
      <c r="C3" s="11" t="s">
        <v>181</v>
      </c>
      <c r="D3" t="s">
        <v>186</v>
      </c>
    </row>
    <row r="4" spans="1:4" x14ac:dyDescent="0.3">
      <c r="A4">
        <v>3</v>
      </c>
      <c r="B4" t="s">
        <v>247</v>
      </c>
      <c r="C4" s="11" t="s">
        <v>181</v>
      </c>
      <c r="D4" t="s">
        <v>187</v>
      </c>
    </row>
    <row r="5" spans="1:4" x14ac:dyDescent="0.3">
      <c r="A5">
        <v>4</v>
      </c>
      <c r="B5" t="s">
        <v>266</v>
      </c>
      <c r="C5" s="11" t="s">
        <v>181</v>
      </c>
      <c r="D5" t="s">
        <v>188</v>
      </c>
    </row>
    <row r="6" spans="1:4" x14ac:dyDescent="0.3">
      <c r="A6">
        <v>5</v>
      </c>
      <c r="B6" t="s">
        <v>267</v>
      </c>
      <c r="C6" s="11" t="s">
        <v>181</v>
      </c>
      <c r="D6" t="s">
        <v>189</v>
      </c>
    </row>
    <row r="7" spans="1:4" x14ac:dyDescent="0.3">
      <c r="A7">
        <v>6</v>
      </c>
      <c r="B7" t="s">
        <v>268</v>
      </c>
      <c r="C7" s="11" t="s">
        <v>182</v>
      </c>
      <c r="D7">
        <f>AVERAGE(tzdata[Nitrate_mgL])</f>
        <v>10.877536231884054</v>
      </c>
    </row>
    <row r="8" spans="1:4" x14ac:dyDescent="0.3">
      <c r="A8">
        <v>7</v>
      </c>
      <c r="B8" t="s">
        <v>269</v>
      </c>
      <c r="C8" s="11" t="s">
        <v>183</v>
      </c>
      <c r="D8">
        <f>COUNT(tzdata[Nitrate_mgL])</f>
        <v>69</v>
      </c>
    </row>
    <row r="9" spans="1:4" ht="28.8" x14ac:dyDescent="0.3">
      <c r="A9">
        <v>8</v>
      </c>
      <c r="B9" t="s">
        <v>270</v>
      </c>
      <c r="C9" s="11" t="s">
        <v>184</v>
      </c>
      <c r="D9">
        <f>(AVERAGE(tzdata[Nitrate_mgL])-10)/(2.5/SQRT(COUNT(tzdata[Nitrate_mgL])))</f>
        <v>2.9157453617373181</v>
      </c>
    </row>
    <row r="10" spans="1:4" ht="28.8" x14ac:dyDescent="0.3">
      <c r="A10">
        <v>9</v>
      </c>
      <c r="B10" t="s">
        <v>261</v>
      </c>
      <c r="C10" s="12" t="s">
        <v>209</v>
      </c>
      <c r="D10">
        <f>2*(1-_xlfn.NORM.S.DIST(ABS((AVERAGE(tzdata[Nitrate_mgL])-10)/(2.5/SQRT(COUNT(tzdata[Nitrate_mgL])))),TRUE))</f>
        <v>3.5483997502243625E-3</v>
      </c>
    </row>
    <row r="11" spans="1:4" ht="28.8" x14ac:dyDescent="0.3">
      <c r="A11">
        <v>10</v>
      </c>
      <c r="B11" t="s">
        <v>263</v>
      </c>
      <c r="C11" s="11" t="s">
        <v>190</v>
      </c>
      <c r="D11" t="str">
        <f>IF(QA_Data1!D10&lt;0.05,"Reject null","Cannot reject null")</f>
        <v>Reject null</v>
      </c>
    </row>
  </sheetData>
  <pageMargins left="0.7" right="0.7" top="0.75" bottom="0.75" header="0.3" footer="0.3"/>
  <pageSetup paperSize="9" orientation="portrait" horizontalDpi="300" verticalDpi="300"/>
  <headerFooter>
    <oddHeader>&amp;C&amp;"Aptos"&amp;10&amp;K0000FF Academic use&amp;1#_x000D_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
  <sheetViews>
    <sheetView workbookViewId="0"/>
  </sheetViews>
  <sheetFormatPr defaultColWidth="11.5546875" defaultRowHeight="14.4" x14ac:dyDescent="0.3"/>
  <sheetData>
    <row r="1" spans="1:3" x14ac:dyDescent="0.3">
      <c r="A1" t="s">
        <v>69</v>
      </c>
      <c r="B1" t="s">
        <v>70</v>
      </c>
      <c r="C1" t="s">
        <v>71</v>
      </c>
    </row>
    <row r="2" spans="1:3" x14ac:dyDescent="0.3">
      <c r="A2" t="s">
        <v>72</v>
      </c>
      <c r="B2">
        <v>142.19999999999999</v>
      </c>
      <c r="C2">
        <v>134.69999999999999</v>
      </c>
    </row>
    <row r="3" spans="1:3" x14ac:dyDescent="0.3">
      <c r="A3" t="s">
        <v>73</v>
      </c>
      <c r="B3">
        <v>171</v>
      </c>
      <c r="C3">
        <v>174.1</v>
      </c>
    </row>
    <row r="4" spans="1:3" x14ac:dyDescent="0.3">
      <c r="A4" t="s">
        <v>74</v>
      </c>
      <c r="B4">
        <v>207.1</v>
      </c>
      <c r="C4">
        <v>205.5</v>
      </c>
    </row>
    <row r="5" spans="1:3" x14ac:dyDescent="0.3">
      <c r="A5" t="s">
        <v>75</v>
      </c>
      <c r="B5">
        <v>220.2</v>
      </c>
      <c r="C5">
        <v>213.9</v>
      </c>
    </row>
    <row r="6" spans="1:3" x14ac:dyDescent="0.3">
      <c r="A6" t="s">
        <v>76</v>
      </c>
      <c r="B6">
        <v>291.60000000000002</v>
      </c>
      <c r="C6">
        <v>290.3</v>
      </c>
    </row>
    <row r="7" spans="1:3" x14ac:dyDescent="0.3">
      <c r="A7" t="s">
        <v>77</v>
      </c>
      <c r="B7">
        <v>162.4</v>
      </c>
      <c r="C7">
        <v>169.6</v>
      </c>
    </row>
    <row r="8" spans="1:3" x14ac:dyDescent="0.3">
      <c r="A8" t="s">
        <v>78</v>
      </c>
      <c r="B8">
        <v>110.9</v>
      </c>
      <c r="C8">
        <v>123.5</v>
      </c>
    </row>
    <row r="9" spans="1:3" x14ac:dyDescent="0.3">
      <c r="A9" t="s">
        <v>79</v>
      </c>
      <c r="B9">
        <v>285.00196375944699</v>
      </c>
      <c r="C9">
        <v>215</v>
      </c>
    </row>
    <row r="10" spans="1:3" x14ac:dyDescent="0.3">
      <c r="A10" t="s">
        <v>80</v>
      </c>
      <c r="B10">
        <v>207.7</v>
      </c>
      <c r="C10">
        <v>205</v>
      </c>
    </row>
    <row r="11" spans="1:3" x14ac:dyDescent="0.3">
      <c r="A11" t="s">
        <v>81</v>
      </c>
      <c r="B11">
        <v>301.5</v>
      </c>
      <c r="C11">
        <v>312.5</v>
      </c>
    </row>
    <row r="12" spans="1:3" x14ac:dyDescent="0.3">
      <c r="A12" t="s">
        <v>82</v>
      </c>
      <c r="B12">
        <v>128</v>
      </c>
      <c r="C12">
        <v>126.1</v>
      </c>
    </row>
    <row r="13" spans="1:3" x14ac:dyDescent="0.3">
      <c r="A13" t="s">
        <v>83</v>
      </c>
      <c r="B13">
        <v>170.9</v>
      </c>
      <c r="C13">
        <v>167</v>
      </c>
    </row>
    <row r="14" spans="1:3" x14ac:dyDescent="0.3">
      <c r="A14" t="s">
        <v>84</v>
      </c>
      <c r="B14">
        <v>188.2</v>
      </c>
      <c r="C14">
        <v>182</v>
      </c>
    </row>
    <row r="15" spans="1:3" x14ac:dyDescent="0.3">
      <c r="A15" t="s">
        <v>85</v>
      </c>
      <c r="B15">
        <v>215.3</v>
      </c>
      <c r="C15">
        <v>233.6</v>
      </c>
    </row>
    <row r="16" spans="1:3" x14ac:dyDescent="0.3">
      <c r="A16" t="s">
        <v>86</v>
      </c>
      <c r="B16">
        <v>233.6</v>
      </c>
      <c r="C16">
        <v>231.2</v>
      </c>
    </row>
    <row r="17" spans="1:3" x14ac:dyDescent="0.3">
      <c r="A17" t="s">
        <v>87</v>
      </c>
      <c r="B17">
        <v>177.6</v>
      </c>
      <c r="C17">
        <v>153</v>
      </c>
    </row>
    <row r="18" spans="1:3" x14ac:dyDescent="0.3">
      <c r="A18" t="s">
        <v>88</v>
      </c>
      <c r="B18">
        <v>172.1</v>
      </c>
      <c r="C18">
        <v>176.4</v>
      </c>
    </row>
    <row r="19" spans="1:3" x14ac:dyDescent="0.3">
      <c r="A19" t="s">
        <v>89</v>
      </c>
      <c r="B19">
        <v>141.80000000000001</v>
      </c>
      <c r="C19">
        <v>153.9</v>
      </c>
    </row>
    <row r="20" spans="1:3" x14ac:dyDescent="0.3">
      <c r="A20" t="s">
        <v>90</v>
      </c>
      <c r="B20">
        <v>217.9</v>
      </c>
      <c r="C20">
        <v>205.6</v>
      </c>
    </row>
    <row r="21" spans="1:3" x14ac:dyDescent="0.3">
      <c r="A21" t="s">
        <v>91</v>
      </c>
      <c r="B21">
        <v>248.1</v>
      </c>
      <c r="C21">
        <v>234</v>
      </c>
    </row>
    <row r="22" spans="1:3" x14ac:dyDescent="0.3">
      <c r="A22" t="s">
        <v>92</v>
      </c>
      <c r="B22">
        <v>169.4</v>
      </c>
      <c r="C22">
        <v>174.7</v>
      </c>
    </row>
    <row r="23" spans="1:3" x14ac:dyDescent="0.3">
      <c r="A23" t="s">
        <v>93</v>
      </c>
      <c r="B23">
        <v>126.9</v>
      </c>
      <c r="C23">
        <v>116.7</v>
      </c>
    </row>
    <row r="24" spans="1:3" x14ac:dyDescent="0.3">
      <c r="A24" t="s">
        <v>94</v>
      </c>
      <c r="B24">
        <v>174.1</v>
      </c>
      <c r="C24">
        <v>157.6</v>
      </c>
    </row>
    <row r="25" spans="1:3" x14ac:dyDescent="0.3">
      <c r="A25" t="s">
        <v>95</v>
      </c>
      <c r="B25">
        <v>186.1</v>
      </c>
      <c r="C25">
        <v>170.4</v>
      </c>
    </row>
    <row r="26" spans="1:3" x14ac:dyDescent="0.3">
      <c r="A26" t="s">
        <v>96</v>
      </c>
      <c r="B26">
        <v>184.3</v>
      </c>
      <c r="C26">
        <v>166.7</v>
      </c>
    </row>
    <row r="27" spans="1:3" x14ac:dyDescent="0.3">
      <c r="A27" t="s">
        <v>97</v>
      </c>
      <c r="B27">
        <v>148</v>
      </c>
      <c r="C27">
        <v>121.5</v>
      </c>
    </row>
    <row r="28" spans="1:3" x14ac:dyDescent="0.3">
      <c r="A28" t="s">
        <v>98</v>
      </c>
      <c r="B28">
        <v>339.4</v>
      </c>
      <c r="C28">
        <v>336</v>
      </c>
    </row>
    <row r="29" spans="1:3" x14ac:dyDescent="0.3">
      <c r="A29" t="s">
        <v>99</v>
      </c>
      <c r="B29">
        <v>189.1</v>
      </c>
      <c r="C29">
        <v>192.7</v>
      </c>
    </row>
    <row r="30" spans="1:3" x14ac:dyDescent="0.3">
      <c r="A30" t="s">
        <v>100</v>
      </c>
      <c r="B30">
        <v>209.1</v>
      </c>
      <c r="C30">
        <v>218.7</v>
      </c>
    </row>
    <row r="31" spans="1:3" x14ac:dyDescent="0.3">
      <c r="A31" t="s">
        <v>101</v>
      </c>
      <c r="B31">
        <v>315.3</v>
      </c>
      <c r="C31">
        <v>331.4</v>
      </c>
    </row>
    <row r="32" spans="1:3" x14ac:dyDescent="0.3">
      <c r="A32" t="s">
        <v>102</v>
      </c>
      <c r="B32">
        <v>278.8</v>
      </c>
      <c r="C32">
        <v>241.1</v>
      </c>
    </row>
    <row r="33" spans="1:3" x14ac:dyDescent="0.3">
      <c r="A33" t="s">
        <v>103</v>
      </c>
      <c r="B33">
        <v>280.7</v>
      </c>
      <c r="C33">
        <v>302.2</v>
      </c>
    </row>
    <row r="34" spans="1:3" x14ac:dyDescent="0.3">
      <c r="A34" t="s">
        <v>104</v>
      </c>
      <c r="B34">
        <v>183.5</v>
      </c>
      <c r="C34">
        <v>164.2</v>
      </c>
    </row>
    <row r="35" spans="1:3" x14ac:dyDescent="0.3">
      <c r="A35" t="s">
        <v>105</v>
      </c>
      <c r="B35">
        <v>178.4</v>
      </c>
      <c r="C35">
        <v>190.3</v>
      </c>
    </row>
    <row r="36" spans="1:3" x14ac:dyDescent="0.3">
      <c r="A36" t="s">
        <v>106</v>
      </c>
      <c r="B36">
        <v>178</v>
      </c>
      <c r="C36">
        <v>178.7</v>
      </c>
    </row>
    <row r="37" spans="1:3" x14ac:dyDescent="0.3">
      <c r="A37" t="s">
        <v>107</v>
      </c>
      <c r="B37">
        <v>207.1</v>
      </c>
      <c r="C37">
        <v>198.4</v>
      </c>
    </row>
    <row r="38" spans="1:3" x14ac:dyDescent="0.3">
      <c r="A38" t="s">
        <v>108</v>
      </c>
      <c r="B38">
        <v>157.19999999999999</v>
      </c>
      <c r="C38">
        <v>149.19999999999999</v>
      </c>
    </row>
    <row r="39" spans="1:3" x14ac:dyDescent="0.3">
      <c r="A39" t="s">
        <v>109</v>
      </c>
      <c r="B39">
        <v>180.8</v>
      </c>
      <c r="C39">
        <v>183.7</v>
      </c>
    </row>
    <row r="40" spans="1:3" x14ac:dyDescent="0.3">
      <c r="A40" t="s">
        <v>110</v>
      </c>
      <c r="B40">
        <v>254.7</v>
      </c>
      <c r="C40">
        <v>265.5</v>
      </c>
    </row>
  </sheetData>
  <pageMargins left="0.7" right="0.7" top="0.75" bottom="0.75" header="0.3" footer="0.3"/>
  <pageSetup paperSize="9" orientation="portrait" horizontalDpi="300" verticalDpi="300"/>
  <headerFooter>
    <oddHeader>&amp;C&amp;"Aptos"&amp;10&amp;K0000FF Academic use&amp;1#_x000D_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B12" sqref="B12"/>
    </sheetView>
  </sheetViews>
  <sheetFormatPr defaultColWidth="11.5546875" defaultRowHeight="14.4" x14ac:dyDescent="0.3"/>
  <cols>
    <col min="1" max="1" width="3.44140625" bestFit="1" customWidth="1"/>
    <col min="2" max="2" width="58.6640625" bestFit="1" customWidth="1"/>
    <col min="3" max="3" width="23.88671875" customWidth="1"/>
  </cols>
  <sheetData>
    <row r="1" spans="1:4" x14ac:dyDescent="0.3">
      <c r="A1" t="s">
        <v>177</v>
      </c>
      <c r="B1" t="s">
        <v>178</v>
      </c>
      <c r="C1" t="s">
        <v>179</v>
      </c>
      <c r="D1" t="s">
        <v>180</v>
      </c>
    </row>
    <row r="2" spans="1:4" x14ac:dyDescent="0.3">
      <c r="A2">
        <v>1</v>
      </c>
      <c r="B2" t="s">
        <v>255</v>
      </c>
      <c r="C2" t="s">
        <v>181</v>
      </c>
      <c r="D2" t="s">
        <v>193</v>
      </c>
    </row>
    <row r="3" spans="1:4" x14ac:dyDescent="0.3">
      <c r="A3">
        <v>2</v>
      </c>
      <c r="B3" t="s">
        <v>256</v>
      </c>
      <c r="C3" t="s">
        <v>181</v>
      </c>
      <c r="D3" t="s">
        <v>194</v>
      </c>
    </row>
    <row r="4" spans="1:4" x14ac:dyDescent="0.3">
      <c r="A4">
        <v>3</v>
      </c>
      <c r="B4" t="s">
        <v>247</v>
      </c>
      <c r="C4" t="s">
        <v>181</v>
      </c>
      <c r="D4" t="s">
        <v>195</v>
      </c>
    </row>
    <row r="5" spans="1:4" x14ac:dyDescent="0.3">
      <c r="A5">
        <v>4</v>
      </c>
      <c r="B5" t="s">
        <v>257</v>
      </c>
      <c r="C5" t="s">
        <v>181</v>
      </c>
      <c r="D5" t="s">
        <v>196</v>
      </c>
    </row>
    <row r="6" spans="1:4" x14ac:dyDescent="0.3">
      <c r="A6">
        <v>5</v>
      </c>
      <c r="B6" t="s">
        <v>258</v>
      </c>
      <c r="C6" t="s">
        <v>181</v>
      </c>
      <c r="D6" t="s">
        <v>197</v>
      </c>
    </row>
    <row r="7" spans="1:4" x14ac:dyDescent="0.3">
      <c r="A7">
        <v>6</v>
      </c>
      <c r="B7" t="s">
        <v>259</v>
      </c>
      <c r="C7" t="s">
        <v>191</v>
      </c>
    </row>
    <row r="8" spans="1:4" x14ac:dyDescent="0.3">
      <c r="A8">
        <v>7</v>
      </c>
      <c r="B8" t="s">
        <v>260</v>
      </c>
      <c r="C8" t="s">
        <v>192</v>
      </c>
      <c r="D8" cm="1">
        <f t="array" ref="D8">(AVERAGE(tpairdata[After_kWhDay]-tpairdata[Before_kWhDay]))/(_xlfn.SINGLE(_xlfn.STDEV.S(tpairdata[After_kWhDay]-tpairdata[Before_kWhDay]))/SQRT(COUNT(tpairdata[After_kWhDay]-tpairdata[Before_kWhDay])))</f>
        <v>-1.586363310899447</v>
      </c>
    </row>
    <row r="9" spans="1:4" x14ac:dyDescent="0.3">
      <c r="A9">
        <v>8</v>
      </c>
      <c r="B9" t="s">
        <v>261</v>
      </c>
      <c r="C9" s="1" t="s">
        <v>210</v>
      </c>
      <c r="D9" cm="1">
        <f t="array" ref="D9">_xlfn.T.DIST(ABS((AVERAGE(tpairdata[After_kWhDay]-tpairdata[[#This Row],[Before_kWhDay]]))/(_xlfn.STDEV.S(tpairdata[After_kWhDay]-tpairdata[Before_kWhDay])/SQRT(COUNT(tpairdata[After_kWhDay]-tpairdata[Before_kWhDay])))), COUNT(tpairdata[After_kWhDay]-tpairdata[Before_kWhDay])-1,TRUE)</f>
        <v>1</v>
      </c>
    </row>
    <row r="10" spans="1:4" x14ac:dyDescent="0.3">
      <c r="A10">
        <v>9</v>
      </c>
      <c r="B10" t="s">
        <v>262</v>
      </c>
      <c r="C10" t="s">
        <v>181</v>
      </c>
      <c r="D10" t="s">
        <v>198</v>
      </c>
    </row>
    <row r="11" spans="1:4" x14ac:dyDescent="0.3">
      <c r="A11">
        <v>10</v>
      </c>
      <c r="B11" t="s">
        <v>263</v>
      </c>
      <c r="C11" t="s">
        <v>199</v>
      </c>
      <c r="D11" t="str">
        <f>IF(D9&lt;0.05,"Reject null","Cannot reject null")</f>
        <v>Cannot reject null</v>
      </c>
    </row>
  </sheetData>
  <pageMargins left="0.7" right="0.7" top="0.75" bottom="0.75" header="0.3" footer="0.3"/>
  <pageSetup paperSize="9" orientation="portrait" horizontalDpi="300" verticalDpi="300"/>
  <headerFooter>
    <oddHeader>&amp;C&amp;"Aptos"&amp;10&amp;K0000FF Academic use&amp;1#_x000D_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2"/>
  <sheetViews>
    <sheetView topLeftCell="A15" workbookViewId="0">
      <selection activeCell="G5" sqref="G5"/>
    </sheetView>
  </sheetViews>
  <sheetFormatPr defaultColWidth="11.5546875" defaultRowHeight="14.4" x14ac:dyDescent="0.3"/>
  <cols>
    <col min="9" max="9" width="17.44140625" bestFit="1" customWidth="1"/>
  </cols>
  <sheetData>
    <row r="1" spans="1:14" x14ac:dyDescent="0.3">
      <c r="A1" t="s">
        <v>111</v>
      </c>
      <c r="B1" t="s">
        <v>112</v>
      </c>
      <c r="C1" t="s">
        <v>240</v>
      </c>
      <c r="D1" t="s">
        <v>241</v>
      </c>
      <c r="E1" t="s">
        <v>113</v>
      </c>
    </row>
    <row r="2" spans="1:14" x14ac:dyDescent="0.3">
      <c r="A2" t="s">
        <v>114</v>
      </c>
      <c r="B2" t="s">
        <v>240</v>
      </c>
      <c r="C2">
        <f>IF(tlmdata[[#This Row],[Management_Regime]]=tlmdata[[#Headers],[Biodiverse_planting]],1,0)</f>
        <v>1</v>
      </c>
      <c r="D2">
        <f>IF(tlmdata[[#This Row],[Management_Regime]]=tlmdata[[#Headers],[Reduced_mow]],1,0)</f>
        <v>0</v>
      </c>
      <c r="E2">
        <v>49.8</v>
      </c>
    </row>
    <row r="3" spans="1:14" x14ac:dyDescent="0.3">
      <c r="A3" t="s">
        <v>115</v>
      </c>
      <c r="B3" t="s">
        <v>241</v>
      </c>
      <c r="C3">
        <f>IF(tlmdata[[#This Row],[Management_Regime]]=tlmdata[[#Headers],[Biodiverse_planting]],1,0)</f>
        <v>0</v>
      </c>
      <c r="D3">
        <f>IF(tlmdata[[#This Row],[Management_Regime]]=tlmdata[[#Headers],[Reduced_mow]],1,0)</f>
        <v>1</v>
      </c>
      <c r="E3">
        <v>42</v>
      </c>
    </row>
    <row r="4" spans="1:14" x14ac:dyDescent="0.3">
      <c r="A4" t="s">
        <v>116</v>
      </c>
      <c r="B4" t="s">
        <v>242</v>
      </c>
      <c r="C4">
        <f>IF(tlmdata[[#This Row],[Management_Regime]]=tlmdata[[#Headers],[Biodiverse_planting]],1,0)</f>
        <v>0</v>
      </c>
      <c r="D4">
        <f>IF(tlmdata[[#This Row],[Management_Regime]]=tlmdata[[#Headers],[Reduced_mow]],1,0)</f>
        <v>0</v>
      </c>
      <c r="E4">
        <v>45.2</v>
      </c>
      <c r="G4" s="5"/>
      <c r="H4" s="5"/>
    </row>
    <row r="5" spans="1:14" x14ac:dyDescent="0.3">
      <c r="A5" t="s">
        <v>117</v>
      </c>
      <c r="B5" t="s">
        <v>241</v>
      </c>
      <c r="C5">
        <f>IF(tlmdata[[#This Row],[Management_Regime]]=tlmdata[[#Headers],[Biodiverse_planting]],1,0)</f>
        <v>0</v>
      </c>
      <c r="D5">
        <f>IF(tlmdata[[#This Row],[Management_Regime]]=tlmdata[[#Headers],[Reduced_mow]],1,0)</f>
        <v>1</v>
      </c>
      <c r="E5">
        <v>43.5</v>
      </c>
      <c r="I5" t="s">
        <v>211</v>
      </c>
    </row>
    <row r="6" spans="1:14" ht="15" thickBot="1" x14ac:dyDescent="0.35">
      <c r="A6" t="s">
        <v>118</v>
      </c>
      <c r="B6" t="s">
        <v>242</v>
      </c>
      <c r="C6">
        <f>IF(tlmdata[[#This Row],[Management_Regime]]=tlmdata[[#Headers],[Biodiverse_planting]],1,0)</f>
        <v>0</v>
      </c>
      <c r="D6">
        <f>IF(tlmdata[[#This Row],[Management_Regime]]=tlmdata[[#Headers],[Reduced_mow]],1,0)</f>
        <v>0</v>
      </c>
      <c r="E6">
        <v>32.5</v>
      </c>
    </row>
    <row r="7" spans="1:14" x14ac:dyDescent="0.3">
      <c r="A7" t="s">
        <v>119</v>
      </c>
      <c r="B7" t="s">
        <v>242</v>
      </c>
      <c r="C7">
        <f>IF(tlmdata[[#This Row],[Management_Regime]]=tlmdata[[#Headers],[Biodiverse_planting]],1,0)</f>
        <v>0</v>
      </c>
      <c r="D7">
        <f>IF(tlmdata[[#This Row],[Management_Regime]]=tlmdata[[#Headers],[Reduced_mow]],1,0)</f>
        <v>0</v>
      </c>
      <c r="E7">
        <v>27.4</v>
      </c>
      <c r="I7" s="4" t="s">
        <v>212</v>
      </c>
      <c r="J7" s="4"/>
    </row>
    <row r="8" spans="1:14" x14ac:dyDescent="0.3">
      <c r="A8" t="s">
        <v>120</v>
      </c>
      <c r="B8" t="s">
        <v>240</v>
      </c>
      <c r="C8">
        <f>IF(tlmdata[[#This Row],[Management_Regime]]=tlmdata[[#Headers],[Biodiverse_planting]],1,0)</f>
        <v>1</v>
      </c>
      <c r="D8">
        <f>IF(tlmdata[[#This Row],[Management_Regime]]=tlmdata[[#Headers],[Reduced_mow]],1,0)</f>
        <v>0</v>
      </c>
      <c r="E8">
        <v>44.8</v>
      </c>
      <c r="I8" t="s">
        <v>213</v>
      </c>
      <c r="J8">
        <v>0.59274421222389939</v>
      </c>
    </row>
    <row r="9" spans="1:14" x14ac:dyDescent="0.3">
      <c r="A9" t="s">
        <v>121</v>
      </c>
      <c r="B9" t="s">
        <v>240</v>
      </c>
      <c r="C9">
        <f>IF(tlmdata[[#This Row],[Management_Regime]]=tlmdata[[#Headers],[Biodiverse_planting]],1,0)</f>
        <v>1</v>
      </c>
      <c r="D9">
        <f>IF(tlmdata[[#This Row],[Management_Regime]]=tlmdata[[#Headers],[Reduced_mow]],1,0)</f>
        <v>0</v>
      </c>
      <c r="E9">
        <v>33.299999999999997</v>
      </c>
      <c r="I9" t="s">
        <v>214</v>
      </c>
      <c r="J9">
        <v>0.35134570112493102</v>
      </c>
    </row>
    <row r="10" spans="1:14" x14ac:dyDescent="0.3">
      <c r="A10" t="s">
        <v>122</v>
      </c>
      <c r="B10" t="s">
        <v>241</v>
      </c>
      <c r="C10">
        <f>IF(tlmdata[[#This Row],[Management_Regime]]=tlmdata[[#Headers],[Biodiverse_planting]],1,0)</f>
        <v>0</v>
      </c>
      <c r="D10">
        <f>IF(tlmdata[[#This Row],[Management_Regime]]=tlmdata[[#Headers],[Reduced_mow]],1,0)</f>
        <v>1</v>
      </c>
      <c r="E10">
        <v>38.200000000000003</v>
      </c>
      <c r="I10" t="s">
        <v>215</v>
      </c>
      <c r="J10">
        <v>0.32972389116242873</v>
      </c>
    </row>
    <row r="11" spans="1:14" x14ac:dyDescent="0.3">
      <c r="A11" t="s">
        <v>123</v>
      </c>
      <c r="B11" t="s">
        <v>242</v>
      </c>
      <c r="C11">
        <f>IF(tlmdata[[#This Row],[Management_Regime]]=tlmdata[[#Headers],[Biodiverse_planting]],1,0)</f>
        <v>0</v>
      </c>
      <c r="D11">
        <f>IF(tlmdata[[#This Row],[Management_Regime]]=tlmdata[[#Headers],[Reduced_mow]],1,0)</f>
        <v>0</v>
      </c>
      <c r="E11">
        <v>31.6</v>
      </c>
      <c r="I11" t="s">
        <v>216</v>
      </c>
      <c r="J11">
        <v>7.2320027859794092</v>
      </c>
    </row>
    <row r="12" spans="1:14" ht="15" thickBot="1" x14ac:dyDescent="0.35">
      <c r="A12" t="s">
        <v>124</v>
      </c>
      <c r="B12" t="s">
        <v>241</v>
      </c>
      <c r="C12">
        <f>IF(tlmdata[[#This Row],[Management_Regime]]=tlmdata[[#Headers],[Biodiverse_planting]],1,0)</f>
        <v>0</v>
      </c>
      <c r="D12">
        <f>IF(tlmdata[[#This Row],[Management_Regime]]=tlmdata[[#Headers],[Reduced_mow]],1,0)</f>
        <v>1</v>
      </c>
      <c r="E12">
        <v>37</v>
      </c>
      <c r="G12" s="6"/>
      <c r="H12" s="6"/>
      <c r="I12" s="2" t="s">
        <v>217</v>
      </c>
      <c r="J12" s="2">
        <v>63</v>
      </c>
    </row>
    <row r="13" spans="1:14" x14ac:dyDescent="0.3">
      <c r="A13" t="s">
        <v>125</v>
      </c>
      <c r="B13" t="s">
        <v>242</v>
      </c>
      <c r="C13">
        <f>IF(tlmdata[[#This Row],[Management_Regime]]=tlmdata[[#Headers],[Biodiverse_planting]],1,0)</f>
        <v>0</v>
      </c>
      <c r="D13">
        <f>IF(tlmdata[[#This Row],[Management_Regime]]=tlmdata[[#Headers],[Reduced_mow]],1,0)</f>
        <v>0</v>
      </c>
      <c r="E13">
        <v>36.700000000000003</v>
      </c>
    </row>
    <row r="14" spans="1:14" ht="15" thickBot="1" x14ac:dyDescent="0.35">
      <c r="A14" t="s">
        <v>126</v>
      </c>
      <c r="B14" t="s">
        <v>242</v>
      </c>
      <c r="C14">
        <f>IF(tlmdata[[#This Row],[Management_Regime]]=tlmdata[[#Headers],[Biodiverse_planting]],1,0)</f>
        <v>0</v>
      </c>
      <c r="D14">
        <f>IF(tlmdata[[#This Row],[Management_Regime]]=tlmdata[[#Headers],[Reduced_mow]],1,0)</f>
        <v>0</v>
      </c>
      <c r="E14">
        <v>40.799999999999997</v>
      </c>
      <c r="I14" t="s">
        <v>218</v>
      </c>
    </row>
    <row r="15" spans="1:14" x14ac:dyDescent="0.3">
      <c r="A15" t="s">
        <v>127</v>
      </c>
      <c r="B15" t="s">
        <v>242</v>
      </c>
      <c r="C15">
        <f>IF(tlmdata[[#This Row],[Management_Regime]]=tlmdata[[#Headers],[Biodiverse_planting]],1,0)</f>
        <v>0</v>
      </c>
      <c r="D15">
        <f>IF(tlmdata[[#This Row],[Management_Regime]]=tlmdata[[#Headers],[Reduced_mow]],1,0)</f>
        <v>0</v>
      </c>
      <c r="E15">
        <v>37.799999999999997</v>
      </c>
      <c r="I15" s="3"/>
      <c r="J15" s="3" t="s">
        <v>223</v>
      </c>
      <c r="K15" s="3" t="s">
        <v>224</v>
      </c>
      <c r="L15" s="3" t="s">
        <v>225</v>
      </c>
      <c r="M15" s="3" t="s">
        <v>226</v>
      </c>
      <c r="N15" s="3" t="s">
        <v>227</v>
      </c>
    </row>
    <row r="16" spans="1:14" x14ac:dyDescent="0.3">
      <c r="A16" t="s">
        <v>128</v>
      </c>
      <c r="B16" t="s">
        <v>240</v>
      </c>
      <c r="C16">
        <f>IF(tlmdata[[#This Row],[Management_Regime]]=tlmdata[[#Headers],[Biodiverse_planting]],1,0)</f>
        <v>1</v>
      </c>
      <c r="D16">
        <f>IF(tlmdata[[#This Row],[Management_Regime]]=tlmdata[[#Headers],[Reduced_mow]],1,0)</f>
        <v>0</v>
      </c>
      <c r="E16">
        <v>69.139236472733302</v>
      </c>
      <c r="I16" t="s">
        <v>219</v>
      </c>
      <c r="J16">
        <v>2</v>
      </c>
      <c r="K16">
        <v>1699.7684479914733</v>
      </c>
      <c r="L16">
        <v>849.88422399573665</v>
      </c>
      <c r="M16">
        <v>16.249597130594228</v>
      </c>
      <c r="N16" s="7">
        <v>2.2929734174828799E-6</v>
      </c>
    </row>
    <row r="17" spans="1:17" x14ac:dyDescent="0.3">
      <c r="A17" t="s">
        <v>129</v>
      </c>
      <c r="B17" t="s">
        <v>240</v>
      </c>
      <c r="C17">
        <f>IF(tlmdata[[#This Row],[Management_Regime]]=tlmdata[[#Headers],[Biodiverse_planting]],1,0)</f>
        <v>1</v>
      </c>
      <c r="D17">
        <f>IF(tlmdata[[#This Row],[Management_Regime]]=tlmdata[[#Headers],[Reduced_mow]],1,0)</f>
        <v>0</v>
      </c>
      <c r="E17">
        <v>52.4</v>
      </c>
      <c r="G17" s="6"/>
      <c r="H17" s="6"/>
      <c r="I17" t="s">
        <v>220</v>
      </c>
      <c r="J17">
        <v>60</v>
      </c>
      <c r="K17">
        <v>3138.1118577848365</v>
      </c>
      <c r="L17">
        <v>52.301864296413939</v>
      </c>
    </row>
    <row r="18" spans="1:17" ht="15" thickBot="1" x14ac:dyDescent="0.35">
      <c r="A18" t="s">
        <v>130</v>
      </c>
      <c r="B18" t="s">
        <v>240</v>
      </c>
      <c r="C18">
        <f>IF(tlmdata[[#This Row],[Management_Regime]]=tlmdata[[#Headers],[Biodiverse_planting]],1,0)</f>
        <v>1</v>
      </c>
      <c r="D18">
        <f>IF(tlmdata[[#This Row],[Management_Regime]]=tlmdata[[#Headers],[Reduced_mow]],1,0)</f>
        <v>0</v>
      </c>
      <c r="E18">
        <v>52.1</v>
      </c>
      <c r="I18" s="2" t="s">
        <v>221</v>
      </c>
      <c r="J18" s="2">
        <v>62</v>
      </c>
      <c r="K18" s="2">
        <v>4837.8803057763098</v>
      </c>
      <c r="L18" s="2"/>
      <c r="M18" s="2"/>
      <c r="N18" s="2"/>
    </row>
    <row r="19" spans="1:17" ht="15" thickBot="1" x14ac:dyDescent="0.35">
      <c r="A19" t="s">
        <v>131</v>
      </c>
      <c r="B19" t="s">
        <v>242</v>
      </c>
      <c r="C19">
        <f>IF(tlmdata[[#This Row],[Management_Regime]]=tlmdata[[#Headers],[Biodiverse_planting]],1,0)</f>
        <v>0</v>
      </c>
      <c r="D19">
        <f>IF(tlmdata[[#This Row],[Management_Regime]]=tlmdata[[#Headers],[Reduced_mow]],1,0)</f>
        <v>0</v>
      </c>
      <c r="E19">
        <v>23.9</v>
      </c>
    </row>
    <row r="20" spans="1:17" x14ac:dyDescent="0.3">
      <c r="A20" t="s">
        <v>132</v>
      </c>
      <c r="B20" t="s">
        <v>241</v>
      </c>
      <c r="C20">
        <f>IF(tlmdata[[#This Row],[Management_Regime]]=tlmdata[[#Headers],[Biodiverse_planting]],1,0)</f>
        <v>0</v>
      </c>
      <c r="D20">
        <f>IF(tlmdata[[#This Row],[Management_Regime]]=tlmdata[[#Headers],[Reduced_mow]],1,0)</f>
        <v>1</v>
      </c>
      <c r="E20">
        <v>35.200000000000003</v>
      </c>
      <c r="I20" s="3"/>
      <c r="J20" s="3" t="s">
        <v>228</v>
      </c>
      <c r="K20" s="3" t="s">
        <v>216</v>
      </c>
      <c r="L20" s="3" t="s">
        <v>229</v>
      </c>
      <c r="M20" s="3" t="s">
        <v>230</v>
      </c>
      <c r="N20" s="3" t="s">
        <v>231</v>
      </c>
      <c r="O20" s="3" t="s">
        <v>232</v>
      </c>
      <c r="P20" s="3" t="s">
        <v>233</v>
      </c>
      <c r="Q20" s="3" t="s">
        <v>234</v>
      </c>
    </row>
    <row r="21" spans="1:17" x14ac:dyDescent="0.3">
      <c r="A21" t="s">
        <v>133</v>
      </c>
      <c r="B21" t="s">
        <v>240</v>
      </c>
      <c r="C21">
        <f>IF(tlmdata[[#This Row],[Management_Regime]]=tlmdata[[#Headers],[Biodiverse_planting]],1,0)</f>
        <v>1</v>
      </c>
      <c r="D21">
        <f>IF(tlmdata[[#This Row],[Management_Regime]]=tlmdata[[#Headers],[Reduced_mow]],1,0)</f>
        <v>0</v>
      </c>
      <c r="E21">
        <v>50.5</v>
      </c>
      <c r="I21" t="s">
        <v>222</v>
      </c>
      <c r="J21">
        <v>34.873913043478261</v>
      </c>
      <c r="K21">
        <v>1.5079768233776289</v>
      </c>
      <c r="L21">
        <v>23.126292462085875</v>
      </c>
      <c r="M21">
        <v>1.40027566935629E-31</v>
      </c>
      <c r="N21">
        <v>31.857510288028006</v>
      </c>
      <c r="O21">
        <v>37.890315798928519</v>
      </c>
      <c r="P21">
        <v>31.857510288028006</v>
      </c>
      <c r="Q21">
        <v>37.890315798928519</v>
      </c>
    </row>
    <row r="22" spans="1:17" x14ac:dyDescent="0.3">
      <c r="A22" t="s">
        <v>134</v>
      </c>
      <c r="B22" t="s">
        <v>240</v>
      </c>
      <c r="C22">
        <f>IF(tlmdata[[#This Row],[Management_Regime]]=tlmdata[[#Headers],[Biodiverse_planting]],1,0)</f>
        <v>1</v>
      </c>
      <c r="D22">
        <f>IF(tlmdata[[#This Row],[Management_Regime]]=tlmdata[[#Headers],[Reduced_mow]],1,0)</f>
        <v>0</v>
      </c>
      <c r="E22">
        <v>41.1</v>
      </c>
      <c r="I22" t="s">
        <v>240</v>
      </c>
      <c r="J22">
        <v>12.712362560349812</v>
      </c>
      <c r="K22">
        <v>2.2420356374632724</v>
      </c>
      <c r="L22">
        <v>5.6700091416624758</v>
      </c>
      <c r="M22">
        <v>4.3380854110327745E-7</v>
      </c>
      <c r="N22">
        <v>8.2276235578536721</v>
      </c>
      <c r="O22">
        <v>17.197101562845951</v>
      </c>
      <c r="P22">
        <v>8.2276235578536721</v>
      </c>
      <c r="Q22">
        <v>17.197101562845951</v>
      </c>
    </row>
    <row r="23" spans="1:17" ht="15" thickBot="1" x14ac:dyDescent="0.35">
      <c r="A23" t="s">
        <v>135</v>
      </c>
      <c r="B23" t="s">
        <v>240</v>
      </c>
      <c r="C23">
        <f>IF(tlmdata[[#This Row],[Management_Regime]]=tlmdata[[#Headers],[Biodiverse_planting]],1,0)</f>
        <v>1</v>
      </c>
      <c r="D23">
        <f>IF(tlmdata[[#This Row],[Management_Regime]]=tlmdata[[#Headers],[Reduced_mow]],1,0)</f>
        <v>0</v>
      </c>
      <c r="E23">
        <v>38.799999999999997</v>
      </c>
      <c r="I23" s="2" t="s">
        <v>241</v>
      </c>
      <c r="J23" s="2">
        <v>4.6070393374741245</v>
      </c>
      <c r="K23" s="2">
        <v>2.1827869951829904</v>
      </c>
      <c r="L23" s="2">
        <v>2.1106224966710054</v>
      </c>
      <c r="M23" s="2">
        <v>3.8981681710192319E-2</v>
      </c>
      <c r="N23" s="2">
        <v>0.24081526508853557</v>
      </c>
      <c r="O23" s="2">
        <v>8.9732634098597135</v>
      </c>
      <c r="P23" s="2">
        <v>0.24081526508853557</v>
      </c>
      <c r="Q23" s="2">
        <v>8.9732634098597135</v>
      </c>
    </row>
    <row r="24" spans="1:17" x14ac:dyDescent="0.3">
      <c r="A24" t="s">
        <v>136</v>
      </c>
      <c r="B24" t="s">
        <v>241</v>
      </c>
      <c r="C24">
        <f>IF(tlmdata[[#This Row],[Management_Regime]]=tlmdata[[#Headers],[Biodiverse_planting]],1,0)</f>
        <v>0</v>
      </c>
      <c r="D24">
        <f>IF(tlmdata[[#This Row],[Management_Regime]]=tlmdata[[#Headers],[Reduced_mow]],1,0)</f>
        <v>1</v>
      </c>
      <c r="E24">
        <v>49.5</v>
      </c>
    </row>
    <row r="25" spans="1:17" x14ac:dyDescent="0.3">
      <c r="A25" t="s">
        <v>137</v>
      </c>
      <c r="B25" t="s">
        <v>240</v>
      </c>
      <c r="C25">
        <f>IF(tlmdata[[#This Row],[Management_Regime]]=tlmdata[[#Headers],[Biodiverse_planting]],1,0)</f>
        <v>1</v>
      </c>
      <c r="D25">
        <f>IF(tlmdata[[#This Row],[Management_Regime]]=tlmdata[[#Headers],[Reduced_mow]],1,0)</f>
        <v>0</v>
      </c>
      <c r="E25">
        <v>49</v>
      </c>
    </row>
    <row r="26" spans="1:17" x14ac:dyDescent="0.3">
      <c r="A26" t="s">
        <v>138</v>
      </c>
      <c r="B26" t="s">
        <v>240</v>
      </c>
      <c r="C26">
        <f>IF(tlmdata[[#This Row],[Management_Regime]]=tlmdata[[#Headers],[Biodiverse_planting]],1,0)</f>
        <v>1</v>
      </c>
      <c r="D26">
        <f>IF(tlmdata[[#This Row],[Management_Regime]]=tlmdata[[#Headers],[Reduced_mow]],1,0)</f>
        <v>0</v>
      </c>
      <c r="E26">
        <v>45.2</v>
      </c>
      <c r="G26" s="6"/>
      <c r="H26" s="6"/>
    </row>
    <row r="27" spans="1:17" x14ac:dyDescent="0.3">
      <c r="A27" t="s">
        <v>139</v>
      </c>
      <c r="B27" t="s">
        <v>242</v>
      </c>
      <c r="C27">
        <f>IF(tlmdata[[#This Row],[Management_Regime]]=tlmdata[[#Headers],[Biodiverse_planting]],1,0)</f>
        <v>0</v>
      </c>
      <c r="D27">
        <f>IF(tlmdata[[#This Row],[Management_Regime]]=tlmdata[[#Headers],[Reduced_mow]],1,0)</f>
        <v>0</v>
      </c>
      <c r="E27">
        <v>44.3</v>
      </c>
      <c r="I27" t="s">
        <v>235</v>
      </c>
      <c r="M27" t="s">
        <v>238</v>
      </c>
    </row>
    <row r="28" spans="1:17" ht="15" thickBot="1" x14ac:dyDescent="0.35">
      <c r="A28" t="s">
        <v>140</v>
      </c>
      <c r="B28" t="s">
        <v>240</v>
      </c>
      <c r="C28">
        <f>IF(tlmdata[[#This Row],[Management_Regime]]=tlmdata[[#Headers],[Biodiverse_planting]],1,0)</f>
        <v>1</v>
      </c>
      <c r="D28">
        <f>IF(tlmdata[[#This Row],[Management_Regime]]=tlmdata[[#Headers],[Reduced_mow]],1,0)</f>
        <v>0</v>
      </c>
      <c r="E28">
        <v>41.6</v>
      </c>
    </row>
    <row r="29" spans="1:17" x14ac:dyDescent="0.3">
      <c r="A29" t="s">
        <v>141</v>
      </c>
      <c r="B29" t="s">
        <v>241</v>
      </c>
      <c r="C29">
        <f>IF(tlmdata[[#This Row],[Management_Regime]]=tlmdata[[#Headers],[Biodiverse_planting]],1,0)</f>
        <v>0</v>
      </c>
      <c r="D29">
        <f>IF(tlmdata[[#This Row],[Management_Regime]]=tlmdata[[#Headers],[Reduced_mow]],1,0)</f>
        <v>1</v>
      </c>
      <c r="E29">
        <v>43.8</v>
      </c>
      <c r="I29" s="3" t="s">
        <v>236</v>
      </c>
      <c r="J29" s="3" t="s">
        <v>243</v>
      </c>
      <c r="K29" s="3" t="s">
        <v>237</v>
      </c>
      <c r="M29" s="3" t="s">
        <v>239</v>
      </c>
      <c r="N29" s="3" t="s">
        <v>113</v>
      </c>
    </row>
    <row r="30" spans="1:17" x14ac:dyDescent="0.3">
      <c r="A30" t="s">
        <v>142</v>
      </c>
      <c r="B30" t="s">
        <v>242</v>
      </c>
      <c r="C30">
        <f>IF(tlmdata[[#This Row],[Management_Regime]]=tlmdata[[#Headers],[Biodiverse_planting]],1,0)</f>
        <v>0</v>
      </c>
      <c r="D30">
        <f>IF(tlmdata[[#This Row],[Management_Regime]]=tlmdata[[#Headers],[Reduced_mow]],1,0)</f>
        <v>0</v>
      </c>
      <c r="E30">
        <v>29.6</v>
      </c>
      <c r="I30">
        <v>1</v>
      </c>
      <c r="J30">
        <v>47.586275603828071</v>
      </c>
      <c r="K30">
        <v>2.2137243961719264</v>
      </c>
      <c r="M30">
        <v>0.79365079365079361</v>
      </c>
      <c r="N30">
        <v>23.9</v>
      </c>
    </row>
    <row r="31" spans="1:17" x14ac:dyDescent="0.3">
      <c r="A31" t="s">
        <v>143</v>
      </c>
      <c r="B31" t="s">
        <v>241</v>
      </c>
      <c r="C31">
        <f>IF(tlmdata[[#This Row],[Management_Regime]]=tlmdata[[#Headers],[Biodiverse_planting]],1,0)</f>
        <v>0</v>
      </c>
      <c r="D31">
        <f>IF(tlmdata[[#This Row],[Management_Regime]]=tlmdata[[#Headers],[Reduced_mow]],1,0)</f>
        <v>1</v>
      </c>
      <c r="E31">
        <v>39.5</v>
      </c>
      <c r="I31">
        <v>2</v>
      </c>
      <c r="J31">
        <v>39.480952380952388</v>
      </c>
      <c r="K31">
        <v>2.5190476190476119</v>
      </c>
      <c r="M31">
        <v>2.3809523809523809</v>
      </c>
      <c r="N31">
        <v>24.8</v>
      </c>
    </row>
    <row r="32" spans="1:17" x14ac:dyDescent="0.3">
      <c r="A32" t="s">
        <v>144</v>
      </c>
      <c r="B32" t="s">
        <v>242</v>
      </c>
      <c r="C32">
        <f>IF(tlmdata[[#This Row],[Management_Regime]]=tlmdata[[#Headers],[Biodiverse_planting]],1,0)</f>
        <v>0</v>
      </c>
      <c r="D32">
        <f>IF(tlmdata[[#This Row],[Management_Regime]]=tlmdata[[#Headers],[Reduced_mow]],1,0)</f>
        <v>0</v>
      </c>
      <c r="E32">
        <v>39.9</v>
      </c>
      <c r="I32">
        <v>3</v>
      </c>
      <c r="J32">
        <v>34.873913043478261</v>
      </c>
      <c r="K32">
        <v>10.326086956521742</v>
      </c>
      <c r="M32">
        <v>3.9682539682539679</v>
      </c>
      <c r="N32">
        <v>25.4</v>
      </c>
    </row>
    <row r="33" spans="1:14" x14ac:dyDescent="0.3">
      <c r="A33" t="s">
        <v>145</v>
      </c>
      <c r="B33" t="s">
        <v>242</v>
      </c>
      <c r="C33">
        <f>IF(tlmdata[[#This Row],[Management_Regime]]=tlmdata[[#Headers],[Biodiverse_planting]],1,0)</f>
        <v>0</v>
      </c>
      <c r="D33">
        <f>IF(tlmdata[[#This Row],[Management_Regime]]=tlmdata[[#Headers],[Reduced_mow]],1,0)</f>
        <v>0</v>
      </c>
      <c r="E33">
        <v>49.1</v>
      </c>
      <c r="I33">
        <v>4</v>
      </c>
      <c r="J33">
        <v>39.480952380952388</v>
      </c>
      <c r="K33">
        <v>4.0190476190476119</v>
      </c>
      <c r="M33">
        <v>5.5555555555555554</v>
      </c>
      <c r="N33">
        <v>25.9</v>
      </c>
    </row>
    <row r="34" spans="1:14" x14ac:dyDescent="0.3">
      <c r="A34" t="s">
        <v>146</v>
      </c>
      <c r="B34" t="s">
        <v>242</v>
      </c>
      <c r="C34">
        <f>IF(tlmdata[[#This Row],[Management_Regime]]=tlmdata[[#Headers],[Biodiverse_planting]],1,0)</f>
        <v>0</v>
      </c>
      <c r="D34">
        <f>IF(tlmdata[[#This Row],[Management_Regime]]=tlmdata[[#Headers],[Reduced_mow]],1,0)</f>
        <v>0</v>
      </c>
      <c r="E34">
        <v>40.9</v>
      </c>
      <c r="I34">
        <v>5</v>
      </c>
      <c r="J34">
        <v>34.873913043478261</v>
      </c>
      <c r="K34">
        <v>-2.3739130434782609</v>
      </c>
      <c r="M34">
        <v>7.1428571428571423</v>
      </c>
      <c r="N34">
        <v>27.4</v>
      </c>
    </row>
    <row r="35" spans="1:14" x14ac:dyDescent="0.3">
      <c r="A35" t="s">
        <v>147</v>
      </c>
      <c r="B35" t="s">
        <v>240</v>
      </c>
      <c r="C35">
        <f>IF(tlmdata[[#This Row],[Management_Regime]]=tlmdata[[#Headers],[Biodiverse_planting]],1,0)</f>
        <v>1</v>
      </c>
      <c r="D35">
        <f>IF(tlmdata[[#This Row],[Management_Regime]]=tlmdata[[#Headers],[Reduced_mow]],1,0)</f>
        <v>0</v>
      </c>
      <c r="E35">
        <v>41.8</v>
      </c>
      <c r="I35">
        <v>6</v>
      </c>
      <c r="J35">
        <v>34.873913043478261</v>
      </c>
      <c r="K35">
        <v>-7.4739130434782624</v>
      </c>
      <c r="M35">
        <v>8.7301587301587293</v>
      </c>
      <c r="N35">
        <v>29.6</v>
      </c>
    </row>
    <row r="36" spans="1:14" x14ac:dyDescent="0.3">
      <c r="A36" t="s">
        <v>148</v>
      </c>
      <c r="B36" t="s">
        <v>240</v>
      </c>
      <c r="C36">
        <f>IF(tlmdata[[#This Row],[Management_Regime]]=tlmdata[[#Headers],[Biodiverse_planting]],1,0)</f>
        <v>1</v>
      </c>
      <c r="D36">
        <f>IF(tlmdata[[#This Row],[Management_Regime]]=tlmdata[[#Headers],[Reduced_mow]],1,0)</f>
        <v>0</v>
      </c>
      <c r="E36">
        <v>47.1</v>
      </c>
      <c r="I36">
        <v>7</v>
      </c>
      <c r="J36">
        <v>47.586275603828071</v>
      </c>
      <c r="K36">
        <v>-2.7862756038280736</v>
      </c>
      <c r="M36">
        <v>10.317460317460318</v>
      </c>
      <c r="N36">
        <v>30.5</v>
      </c>
    </row>
    <row r="37" spans="1:14" x14ac:dyDescent="0.3">
      <c r="A37" t="s">
        <v>149</v>
      </c>
      <c r="B37" t="s">
        <v>241</v>
      </c>
      <c r="C37">
        <f>IF(tlmdata[[#This Row],[Management_Regime]]=tlmdata[[#Headers],[Biodiverse_planting]],1,0)</f>
        <v>0</v>
      </c>
      <c r="D37">
        <f>IF(tlmdata[[#This Row],[Management_Regime]]=tlmdata[[#Headers],[Reduced_mow]],1,0)</f>
        <v>1</v>
      </c>
      <c r="E37">
        <v>40</v>
      </c>
      <c r="I37">
        <v>8</v>
      </c>
      <c r="J37">
        <v>47.586275603828071</v>
      </c>
      <c r="K37">
        <v>-14.286275603828074</v>
      </c>
      <c r="M37">
        <v>11.904761904761905</v>
      </c>
      <c r="N37">
        <v>30.9</v>
      </c>
    </row>
    <row r="38" spans="1:14" x14ac:dyDescent="0.3">
      <c r="A38" t="s">
        <v>150</v>
      </c>
      <c r="B38" t="s">
        <v>241</v>
      </c>
      <c r="C38">
        <f>IF(tlmdata[[#This Row],[Management_Regime]]=tlmdata[[#Headers],[Biodiverse_planting]],1,0)</f>
        <v>0</v>
      </c>
      <c r="D38">
        <f>IF(tlmdata[[#This Row],[Management_Regime]]=tlmdata[[#Headers],[Reduced_mow]],1,0)</f>
        <v>1</v>
      </c>
      <c r="E38">
        <v>33.299999999999997</v>
      </c>
      <c r="I38">
        <v>9</v>
      </c>
      <c r="J38">
        <v>39.480952380952388</v>
      </c>
      <c r="K38">
        <v>-1.2809523809523853</v>
      </c>
      <c r="M38">
        <v>13.492063492063492</v>
      </c>
      <c r="N38">
        <v>31.6</v>
      </c>
    </row>
    <row r="39" spans="1:14" x14ac:dyDescent="0.3">
      <c r="A39" t="s">
        <v>151</v>
      </c>
      <c r="B39" t="s">
        <v>242</v>
      </c>
      <c r="C39">
        <f>IF(tlmdata[[#This Row],[Management_Regime]]=tlmdata[[#Headers],[Biodiverse_planting]],1,0)</f>
        <v>0</v>
      </c>
      <c r="D39">
        <f>IF(tlmdata[[#This Row],[Management_Regime]]=tlmdata[[#Headers],[Reduced_mow]],1,0)</f>
        <v>0</v>
      </c>
      <c r="E39">
        <v>46.5</v>
      </c>
      <c r="I39">
        <v>10</v>
      </c>
      <c r="J39">
        <v>34.873913043478261</v>
      </c>
      <c r="K39">
        <v>-3.2739130434782595</v>
      </c>
      <c r="M39">
        <v>15.079365079365079</v>
      </c>
      <c r="N39">
        <v>31.7</v>
      </c>
    </row>
    <row r="40" spans="1:14" x14ac:dyDescent="0.3">
      <c r="A40" t="s">
        <v>152</v>
      </c>
      <c r="B40" t="s">
        <v>242</v>
      </c>
      <c r="C40">
        <f>IF(tlmdata[[#This Row],[Management_Regime]]=tlmdata[[#Headers],[Biodiverse_planting]],1,0)</f>
        <v>0</v>
      </c>
      <c r="D40">
        <f>IF(tlmdata[[#This Row],[Management_Regime]]=tlmdata[[#Headers],[Reduced_mow]],1,0)</f>
        <v>0</v>
      </c>
      <c r="E40">
        <v>31.7</v>
      </c>
      <c r="I40">
        <v>11</v>
      </c>
      <c r="J40">
        <v>39.480952380952388</v>
      </c>
      <c r="K40">
        <v>-2.4809523809523881</v>
      </c>
      <c r="M40">
        <v>16.666666666666664</v>
      </c>
      <c r="N40">
        <v>31.9</v>
      </c>
    </row>
    <row r="41" spans="1:14" x14ac:dyDescent="0.3">
      <c r="A41" t="s">
        <v>153</v>
      </c>
      <c r="B41" t="s">
        <v>240</v>
      </c>
      <c r="C41">
        <f>IF(tlmdata[[#This Row],[Management_Regime]]=tlmdata[[#Headers],[Biodiverse_planting]],1,0)</f>
        <v>1</v>
      </c>
      <c r="D41">
        <f>IF(tlmdata[[#This Row],[Management_Regime]]=tlmdata[[#Headers],[Reduced_mow]],1,0)</f>
        <v>0</v>
      </c>
      <c r="E41">
        <v>60.6</v>
      </c>
      <c r="I41">
        <v>12</v>
      </c>
      <c r="J41">
        <v>34.873913043478261</v>
      </c>
      <c r="K41">
        <v>1.8260869565217419</v>
      </c>
      <c r="M41">
        <v>18.253968253968253</v>
      </c>
      <c r="N41">
        <v>32.1</v>
      </c>
    </row>
    <row r="42" spans="1:14" x14ac:dyDescent="0.3">
      <c r="A42" t="s">
        <v>154</v>
      </c>
      <c r="B42" t="s">
        <v>240</v>
      </c>
      <c r="C42">
        <f>IF(tlmdata[[#This Row],[Management_Regime]]=tlmdata[[#Headers],[Biodiverse_planting]],1,0)</f>
        <v>1</v>
      </c>
      <c r="D42">
        <f>IF(tlmdata[[#This Row],[Management_Regime]]=tlmdata[[#Headers],[Reduced_mow]],1,0)</f>
        <v>0</v>
      </c>
      <c r="E42">
        <v>54.7</v>
      </c>
      <c r="I42">
        <v>13</v>
      </c>
      <c r="J42">
        <v>34.873913043478261</v>
      </c>
      <c r="K42">
        <v>5.9260869565217362</v>
      </c>
      <c r="M42">
        <v>19.841269841269842</v>
      </c>
      <c r="N42">
        <v>32.5</v>
      </c>
    </row>
    <row r="43" spans="1:14" x14ac:dyDescent="0.3">
      <c r="A43" t="s">
        <v>155</v>
      </c>
      <c r="B43" t="s">
        <v>240</v>
      </c>
      <c r="C43">
        <f>IF(tlmdata[[#This Row],[Management_Regime]]=tlmdata[[#Headers],[Biodiverse_planting]],1,0)</f>
        <v>1</v>
      </c>
      <c r="D43">
        <f>IF(tlmdata[[#This Row],[Management_Regime]]=tlmdata[[#Headers],[Reduced_mow]],1,0)</f>
        <v>0</v>
      </c>
      <c r="E43">
        <v>52.9</v>
      </c>
      <c r="I43">
        <v>14</v>
      </c>
      <c r="J43">
        <v>34.873913043478261</v>
      </c>
      <c r="K43">
        <v>2.9260869565217362</v>
      </c>
      <c r="M43">
        <v>21.428571428571427</v>
      </c>
      <c r="N43">
        <v>32.799999999999997</v>
      </c>
    </row>
    <row r="44" spans="1:14" x14ac:dyDescent="0.3">
      <c r="A44" t="s">
        <v>156</v>
      </c>
      <c r="B44" t="s">
        <v>240</v>
      </c>
      <c r="C44">
        <f>IF(tlmdata[[#This Row],[Management_Regime]]=tlmdata[[#Headers],[Biodiverse_planting]],1,0)</f>
        <v>1</v>
      </c>
      <c r="D44">
        <f>IF(tlmdata[[#This Row],[Management_Regime]]=tlmdata[[#Headers],[Reduced_mow]],1,0)</f>
        <v>0</v>
      </c>
      <c r="E44">
        <v>34.6</v>
      </c>
      <c r="I44">
        <v>15</v>
      </c>
      <c r="J44">
        <v>47.586275603828071</v>
      </c>
      <c r="K44">
        <v>21.552960868905231</v>
      </c>
      <c r="M44">
        <v>23.015873015873016</v>
      </c>
      <c r="N44">
        <v>33.299999999999997</v>
      </c>
    </row>
    <row r="45" spans="1:14" x14ac:dyDescent="0.3">
      <c r="A45" t="s">
        <v>157</v>
      </c>
      <c r="B45" t="s">
        <v>241</v>
      </c>
      <c r="C45">
        <f>IF(tlmdata[[#This Row],[Management_Regime]]=tlmdata[[#Headers],[Biodiverse_planting]],1,0)</f>
        <v>0</v>
      </c>
      <c r="D45">
        <f>IF(tlmdata[[#This Row],[Management_Regime]]=tlmdata[[#Headers],[Reduced_mow]],1,0)</f>
        <v>1</v>
      </c>
      <c r="E45">
        <v>34.700000000000003</v>
      </c>
      <c r="I45">
        <v>16</v>
      </c>
      <c r="J45">
        <v>47.586275603828071</v>
      </c>
      <c r="K45">
        <v>4.8137243961719278</v>
      </c>
      <c r="M45">
        <v>24.603174603174601</v>
      </c>
      <c r="N45">
        <v>33.299999999999997</v>
      </c>
    </row>
    <row r="46" spans="1:14" x14ac:dyDescent="0.3">
      <c r="A46" t="s">
        <v>158</v>
      </c>
      <c r="B46" t="s">
        <v>242</v>
      </c>
      <c r="C46">
        <f>IF(tlmdata[[#This Row],[Management_Regime]]=tlmdata[[#Headers],[Biodiverse_planting]],1,0)</f>
        <v>0</v>
      </c>
      <c r="D46">
        <f>IF(tlmdata[[#This Row],[Management_Regime]]=tlmdata[[#Headers],[Reduced_mow]],1,0)</f>
        <v>0</v>
      </c>
      <c r="E46">
        <v>31.9</v>
      </c>
      <c r="I46">
        <v>17</v>
      </c>
      <c r="J46">
        <v>47.586275603828071</v>
      </c>
      <c r="K46">
        <v>4.5137243961719307</v>
      </c>
      <c r="M46">
        <v>26.19047619047619</v>
      </c>
      <c r="N46">
        <v>33.4</v>
      </c>
    </row>
    <row r="47" spans="1:14" x14ac:dyDescent="0.3">
      <c r="A47" t="s">
        <v>159</v>
      </c>
      <c r="B47" t="s">
        <v>242</v>
      </c>
      <c r="C47">
        <f>IF(tlmdata[[#This Row],[Management_Regime]]=tlmdata[[#Headers],[Biodiverse_planting]],1,0)</f>
        <v>0</v>
      </c>
      <c r="D47">
        <f>IF(tlmdata[[#This Row],[Management_Regime]]=tlmdata[[#Headers],[Reduced_mow]],1,0)</f>
        <v>0</v>
      </c>
      <c r="E47">
        <v>25.4</v>
      </c>
      <c r="I47">
        <v>18</v>
      </c>
      <c r="J47">
        <v>34.873913043478261</v>
      </c>
      <c r="K47">
        <v>-10.973913043478262</v>
      </c>
      <c r="M47">
        <v>27.777777777777779</v>
      </c>
      <c r="N47">
        <v>33.799999999999997</v>
      </c>
    </row>
    <row r="48" spans="1:14" x14ac:dyDescent="0.3">
      <c r="A48" t="s">
        <v>160</v>
      </c>
      <c r="B48" t="s">
        <v>241</v>
      </c>
      <c r="C48">
        <f>IF(tlmdata[[#This Row],[Management_Regime]]=tlmdata[[#Headers],[Biodiverse_planting]],1,0)</f>
        <v>0</v>
      </c>
      <c r="D48">
        <f>IF(tlmdata[[#This Row],[Management_Regime]]=tlmdata[[#Headers],[Reduced_mow]],1,0)</f>
        <v>1</v>
      </c>
      <c r="E48">
        <v>30.9</v>
      </c>
      <c r="I48">
        <v>19</v>
      </c>
      <c r="J48">
        <v>39.480952380952388</v>
      </c>
      <c r="K48">
        <v>-4.2809523809523853</v>
      </c>
      <c r="M48">
        <v>29.365079365079364</v>
      </c>
      <c r="N48">
        <v>34.6</v>
      </c>
    </row>
    <row r="49" spans="1:14" x14ac:dyDescent="0.3">
      <c r="A49" t="s">
        <v>161</v>
      </c>
      <c r="B49" t="s">
        <v>241</v>
      </c>
      <c r="C49">
        <f>IF(tlmdata[[#This Row],[Management_Regime]]=tlmdata[[#Headers],[Biodiverse_planting]],1,0)</f>
        <v>0</v>
      </c>
      <c r="D49">
        <f>IF(tlmdata[[#This Row],[Management_Regime]]=tlmdata[[#Headers],[Reduced_mow]],1,0)</f>
        <v>1</v>
      </c>
      <c r="E49">
        <v>44.5</v>
      </c>
      <c r="I49">
        <v>20</v>
      </c>
      <c r="J49">
        <v>47.586275603828071</v>
      </c>
      <c r="K49">
        <v>2.9137243961719292</v>
      </c>
      <c r="M49">
        <v>30.952380952380953</v>
      </c>
      <c r="N49">
        <v>34.700000000000003</v>
      </c>
    </row>
    <row r="50" spans="1:14" x14ac:dyDescent="0.3">
      <c r="A50" t="s">
        <v>162</v>
      </c>
      <c r="B50" t="s">
        <v>241</v>
      </c>
      <c r="C50">
        <f>IF(tlmdata[[#This Row],[Management_Regime]]=tlmdata[[#Headers],[Biodiverse_planting]],1,0)</f>
        <v>0</v>
      </c>
      <c r="D50">
        <f>IF(tlmdata[[#This Row],[Management_Regime]]=tlmdata[[#Headers],[Reduced_mow]],1,0)</f>
        <v>1</v>
      </c>
      <c r="E50">
        <v>46.4</v>
      </c>
      <c r="I50">
        <v>21</v>
      </c>
      <c r="J50">
        <v>47.586275603828071</v>
      </c>
      <c r="K50">
        <v>-6.4862756038280693</v>
      </c>
      <c r="M50">
        <v>32.539682539682538</v>
      </c>
      <c r="N50">
        <v>35.200000000000003</v>
      </c>
    </row>
    <row r="51" spans="1:14" x14ac:dyDescent="0.3">
      <c r="A51" t="s">
        <v>163</v>
      </c>
      <c r="B51" t="s">
        <v>242</v>
      </c>
      <c r="C51">
        <f>IF(tlmdata[[#This Row],[Management_Regime]]=tlmdata[[#Headers],[Biodiverse_planting]],1,0)</f>
        <v>0</v>
      </c>
      <c r="D51">
        <f>IF(tlmdata[[#This Row],[Management_Regime]]=tlmdata[[#Headers],[Reduced_mow]],1,0)</f>
        <v>0</v>
      </c>
      <c r="E51">
        <v>24.8</v>
      </c>
      <c r="I51">
        <v>22</v>
      </c>
      <c r="J51">
        <v>47.586275603828071</v>
      </c>
      <c r="K51">
        <v>-8.7862756038280736</v>
      </c>
      <c r="M51">
        <v>34.126984126984119</v>
      </c>
      <c r="N51">
        <v>36</v>
      </c>
    </row>
    <row r="52" spans="1:14" x14ac:dyDescent="0.3">
      <c r="A52" t="s">
        <v>164</v>
      </c>
      <c r="B52" t="s">
        <v>241</v>
      </c>
      <c r="C52">
        <f>IF(tlmdata[[#This Row],[Management_Regime]]=tlmdata[[#Headers],[Biodiverse_planting]],1,0)</f>
        <v>0</v>
      </c>
      <c r="D52">
        <f>IF(tlmdata[[#This Row],[Management_Regime]]=tlmdata[[#Headers],[Reduced_mow]],1,0)</f>
        <v>1</v>
      </c>
      <c r="E52">
        <v>36</v>
      </c>
      <c r="I52">
        <v>23</v>
      </c>
      <c r="J52">
        <v>39.480952380952388</v>
      </c>
      <c r="K52">
        <v>10.019047619047612</v>
      </c>
      <c r="M52">
        <v>35.714285714285708</v>
      </c>
      <c r="N52">
        <v>36.700000000000003</v>
      </c>
    </row>
    <row r="53" spans="1:14" x14ac:dyDescent="0.3">
      <c r="A53" t="s">
        <v>165</v>
      </c>
      <c r="B53" t="s">
        <v>241</v>
      </c>
      <c r="C53">
        <f>IF(tlmdata[[#This Row],[Management_Regime]]=tlmdata[[#Headers],[Biodiverse_planting]],1,0)</f>
        <v>0</v>
      </c>
      <c r="D53">
        <f>IF(tlmdata[[#This Row],[Management_Regime]]=tlmdata[[#Headers],[Reduced_mow]],1,0)</f>
        <v>1</v>
      </c>
      <c r="E53">
        <v>33.4</v>
      </c>
      <c r="I53">
        <v>24</v>
      </c>
      <c r="J53">
        <v>47.586275603828071</v>
      </c>
      <c r="K53">
        <v>1.4137243961719292</v>
      </c>
      <c r="M53">
        <v>37.301587301587297</v>
      </c>
      <c r="N53">
        <v>37</v>
      </c>
    </row>
    <row r="54" spans="1:14" x14ac:dyDescent="0.3">
      <c r="A54" t="s">
        <v>166</v>
      </c>
      <c r="B54" t="s">
        <v>242</v>
      </c>
      <c r="C54">
        <f>IF(tlmdata[[#This Row],[Management_Regime]]=tlmdata[[#Headers],[Biodiverse_planting]],1,0)</f>
        <v>0</v>
      </c>
      <c r="D54">
        <f>IF(tlmdata[[#This Row],[Management_Regime]]=tlmdata[[#Headers],[Reduced_mow]],1,0)</f>
        <v>0</v>
      </c>
      <c r="E54">
        <v>30.5</v>
      </c>
      <c r="I54">
        <v>25</v>
      </c>
      <c r="J54">
        <v>47.586275603828071</v>
      </c>
      <c r="K54">
        <v>-2.3862756038280679</v>
      </c>
      <c r="M54">
        <v>38.888888888888886</v>
      </c>
      <c r="N54">
        <v>37.299999999999997</v>
      </c>
    </row>
    <row r="55" spans="1:14" x14ac:dyDescent="0.3">
      <c r="A55" t="s">
        <v>167</v>
      </c>
      <c r="B55" t="s">
        <v>242</v>
      </c>
      <c r="C55">
        <f>IF(tlmdata[[#This Row],[Management_Regime]]=tlmdata[[#Headers],[Biodiverse_planting]],1,0)</f>
        <v>0</v>
      </c>
      <c r="D55">
        <f>IF(tlmdata[[#This Row],[Management_Regime]]=tlmdata[[#Headers],[Reduced_mow]],1,0)</f>
        <v>0</v>
      </c>
      <c r="E55">
        <v>25.9</v>
      </c>
      <c r="I55">
        <v>26</v>
      </c>
      <c r="J55">
        <v>34.873913043478261</v>
      </c>
      <c r="K55">
        <v>9.4260869565217362</v>
      </c>
      <c r="M55">
        <v>40.476190476190474</v>
      </c>
      <c r="N55">
        <v>37.799999999999997</v>
      </c>
    </row>
    <row r="56" spans="1:14" x14ac:dyDescent="0.3">
      <c r="A56" t="s">
        <v>168</v>
      </c>
      <c r="B56" t="s">
        <v>241</v>
      </c>
      <c r="C56">
        <f>IF(tlmdata[[#This Row],[Management_Regime]]=tlmdata[[#Headers],[Biodiverse_planting]],1,0)</f>
        <v>0</v>
      </c>
      <c r="D56">
        <f>IF(tlmdata[[#This Row],[Management_Regime]]=tlmdata[[#Headers],[Reduced_mow]],1,0)</f>
        <v>1</v>
      </c>
      <c r="E56">
        <v>38.5</v>
      </c>
      <c r="I56">
        <v>27</v>
      </c>
      <c r="J56">
        <v>47.586275603828071</v>
      </c>
      <c r="K56">
        <v>-5.9862756038280693</v>
      </c>
      <c r="M56">
        <v>42.063492063492056</v>
      </c>
      <c r="N56">
        <v>38.200000000000003</v>
      </c>
    </row>
    <row r="57" spans="1:14" x14ac:dyDescent="0.3">
      <c r="A57" t="s">
        <v>169</v>
      </c>
      <c r="B57" t="s">
        <v>241</v>
      </c>
      <c r="C57">
        <f>IF(tlmdata[[#This Row],[Management_Regime]]=tlmdata[[#Headers],[Biodiverse_planting]],1,0)</f>
        <v>0</v>
      </c>
      <c r="D57">
        <f>IF(tlmdata[[#This Row],[Management_Regime]]=tlmdata[[#Headers],[Reduced_mow]],1,0)</f>
        <v>1</v>
      </c>
      <c r="E57">
        <v>46.9</v>
      </c>
      <c r="I57">
        <v>28</v>
      </c>
      <c r="J57">
        <v>39.480952380952388</v>
      </c>
      <c r="K57">
        <v>4.319047619047609</v>
      </c>
      <c r="M57">
        <v>43.650793650793645</v>
      </c>
      <c r="N57">
        <v>38.5</v>
      </c>
    </row>
    <row r="58" spans="1:14" x14ac:dyDescent="0.3">
      <c r="A58" t="s">
        <v>170</v>
      </c>
      <c r="B58" t="s">
        <v>241</v>
      </c>
      <c r="C58">
        <f>IF(tlmdata[[#This Row],[Management_Regime]]=tlmdata[[#Headers],[Biodiverse_planting]],1,0)</f>
        <v>0</v>
      </c>
      <c r="D58">
        <f>IF(tlmdata[[#This Row],[Management_Regime]]=tlmdata[[#Headers],[Reduced_mow]],1,0)</f>
        <v>1</v>
      </c>
      <c r="E58">
        <v>37.299999999999997</v>
      </c>
      <c r="I58">
        <v>29</v>
      </c>
      <c r="J58">
        <v>34.873913043478261</v>
      </c>
      <c r="K58">
        <v>-5.2739130434782595</v>
      </c>
      <c r="M58">
        <v>45.238095238095234</v>
      </c>
      <c r="N58">
        <v>38.799999999999997</v>
      </c>
    </row>
    <row r="59" spans="1:14" x14ac:dyDescent="0.3">
      <c r="A59" t="s">
        <v>171</v>
      </c>
      <c r="B59" t="s">
        <v>240</v>
      </c>
      <c r="C59">
        <f>IF(tlmdata[[#This Row],[Management_Regime]]=tlmdata[[#Headers],[Biodiverse_planting]],1,0)</f>
        <v>1</v>
      </c>
      <c r="D59">
        <f>IF(tlmdata[[#This Row],[Management_Regime]]=tlmdata[[#Headers],[Reduced_mow]],1,0)</f>
        <v>0</v>
      </c>
      <c r="E59">
        <v>44.7</v>
      </c>
      <c r="I59">
        <v>30</v>
      </c>
      <c r="J59">
        <v>39.480952380952388</v>
      </c>
      <c r="K59">
        <v>1.9047619047611875E-2</v>
      </c>
      <c r="M59">
        <v>46.825396825396822</v>
      </c>
      <c r="N59">
        <v>39.1</v>
      </c>
    </row>
    <row r="60" spans="1:14" x14ac:dyDescent="0.3">
      <c r="A60" t="s">
        <v>172</v>
      </c>
      <c r="B60" t="s">
        <v>241</v>
      </c>
      <c r="C60">
        <f>IF(tlmdata[[#This Row],[Management_Regime]]=tlmdata[[#Headers],[Biodiverse_planting]],1,0)</f>
        <v>0</v>
      </c>
      <c r="D60">
        <f>IF(tlmdata[[#This Row],[Management_Regime]]=tlmdata[[#Headers],[Reduced_mow]],1,0)</f>
        <v>1</v>
      </c>
      <c r="E60">
        <v>32.1</v>
      </c>
      <c r="I60">
        <v>31</v>
      </c>
      <c r="J60">
        <v>34.873913043478261</v>
      </c>
      <c r="K60">
        <v>5.0260869565217376</v>
      </c>
      <c r="M60">
        <v>48.412698412698404</v>
      </c>
      <c r="N60">
        <v>39.5</v>
      </c>
    </row>
    <row r="61" spans="1:14" x14ac:dyDescent="0.3">
      <c r="A61" t="s">
        <v>173</v>
      </c>
      <c r="B61" t="s">
        <v>242</v>
      </c>
      <c r="C61">
        <f>IF(tlmdata[[#This Row],[Management_Regime]]=tlmdata[[#Headers],[Biodiverse_planting]],1,0)</f>
        <v>0</v>
      </c>
      <c r="D61">
        <f>IF(tlmdata[[#This Row],[Management_Regime]]=tlmdata[[#Headers],[Reduced_mow]],1,0)</f>
        <v>0</v>
      </c>
      <c r="E61">
        <v>33.799999999999997</v>
      </c>
      <c r="I61">
        <v>32</v>
      </c>
      <c r="J61">
        <v>34.873913043478261</v>
      </c>
      <c r="K61">
        <v>14.22608695652174</v>
      </c>
      <c r="M61">
        <v>49.999999999999993</v>
      </c>
      <c r="N61">
        <v>39.9</v>
      </c>
    </row>
    <row r="62" spans="1:14" x14ac:dyDescent="0.3">
      <c r="A62" t="s">
        <v>174</v>
      </c>
      <c r="B62" t="s">
        <v>242</v>
      </c>
      <c r="C62">
        <f>IF(tlmdata[[#This Row],[Management_Regime]]=tlmdata[[#Headers],[Biodiverse_planting]],1,0)</f>
        <v>0</v>
      </c>
      <c r="D62">
        <f>IF(tlmdata[[#This Row],[Management_Regime]]=tlmdata[[#Headers],[Reduced_mow]],1,0)</f>
        <v>0</v>
      </c>
      <c r="E62">
        <v>39.1</v>
      </c>
      <c r="I62">
        <v>33</v>
      </c>
      <c r="J62">
        <v>34.873913043478261</v>
      </c>
      <c r="K62">
        <v>6.0260869565217376</v>
      </c>
      <c r="M62">
        <v>51.587301587301582</v>
      </c>
      <c r="N62">
        <v>40</v>
      </c>
    </row>
    <row r="63" spans="1:14" x14ac:dyDescent="0.3">
      <c r="A63" t="s">
        <v>175</v>
      </c>
      <c r="B63" t="s">
        <v>242</v>
      </c>
      <c r="C63">
        <f>IF(tlmdata[[#This Row],[Management_Regime]]=tlmdata[[#Headers],[Biodiverse_planting]],1,0)</f>
        <v>0</v>
      </c>
      <c r="D63">
        <f>IF(tlmdata[[#This Row],[Management_Regime]]=tlmdata[[#Headers],[Reduced_mow]],1,0)</f>
        <v>0</v>
      </c>
      <c r="E63">
        <v>32.799999999999997</v>
      </c>
      <c r="I63">
        <v>34</v>
      </c>
      <c r="J63">
        <v>47.586275603828071</v>
      </c>
      <c r="K63">
        <v>-5.7862756038280736</v>
      </c>
      <c r="M63">
        <v>53.17460317460317</v>
      </c>
      <c r="N63">
        <v>40.799999999999997</v>
      </c>
    </row>
    <row r="64" spans="1:14" x14ac:dyDescent="0.3">
      <c r="A64" t="s">
        <v>176</v>
      </c>
      <c r="B64" t="s">
        <v>241</v>
      </c>
      <c r="C64">
        <f>IF(tlmdata[[#This Row],[Management_Regime]]=tlmdata[[#Headers],[Biodiverse_planting]],1,0)</f>
        <v>0</v>
      </c>
      <c r="D64">
        <f>IF(tlmdata[[#This Row],[Management_Regime]]=tlmdata[[#Headers],[Reduced_mow]],1,0)</f>
        <v>1</v>
      </c>
      <c r="E64">
        <v>46.4</v>
      </c>
      <c r="I64">
        <v>35</v>
      </c>
      <c r="J64">
        <v>47.586275603828071</v>
      </c>
      <c r="K64">
        <v>-0.48627560382806934</v>
      </c>
      <c r="M64">
        <v>54.761904761904759</v>
      </c>
      <c r="N64">
        <v>40.9</v>
      </c>
    </row>
    <row r="65" spans="9:14" x14ac:dyDescent="0.3">
      <c r="I65">
        <v>36</v>
      </c>
      <c r="J65">
        <v>39.480952380952388</v>
      </c>
      <c r="K65">
        <v>0.51904761904761187</v>
      </c>
      <c r="M65">
        <v>56.349206349206341</v>
      </c>
      <c r="N65">
        <v>41.1</v>
      </c>
    </row>
    <row r="66" spans="9:14" x14ac:dyDescent="0.3">
      <c r="I66">
        <v>37</v>
      </c>
      <c r="J66">
        <v>39.480952380952388</v>
      </c>
      <c r="K66">
        <v>-6.180952380952391</v>
      </c>
      <c r="M66">
        <v>57.93650793650793</v>
      </c>
      <c r="N66">
        <v>41.6</v>
      </c>
    </row>
    <row r="67" spans="9:14" x14ac:dyDescent="0.3">
      <c r="I67">
        <v>38</v>
      </c>
      <c r="J67">
        <v>34.873913043478261</v>
      </c>
      <c r="K67">
        <v>11.626086956521739</v>
      </c>
      <c r="M67">
        <v>59.523809523809518</v>
      </c>
      <c r="N67">
        <v>41.8</v>
      </c>
    </row>
    <row r="68" spans="9:14" x14ac:dyDescent="0.3">
      <c r="I68">
        <v>39</v>
      </c>
      <c r="J68">
        <v>34.873913043478261</v>
      </c>
      <c r="K68">
        <v>-3.1739130434782616</v>
      </c>
      <c r="M68">
        <v>61.111111111111107</v>
      </c>
      <c r="N68">
        <v>42</v>
      </c>
    </row>
    <row r="69" spans="9:14" x14ac:dyDescent="0.3">
      <c r="I69">
        <v>40</v>
      </c>
      <c r="J69">
        <v>47.586275603828071</v>
      </c>
      <c r="K69">
        <v>13.013724396171931</v>
      </c>
      <c r="M69">
        <v>62.698412698412689</v>
      </c>
      <c r="N69">
        <v>43.5</v>
      </c>
    </row>
    <row r="70" spans="9:14" x14ac:dyDescent="0.3">
      <c r="I70">
        <v>41</v>
      </c>
      <c r="J70">
        <v>47.586275603828071</v>
      </c>
      <c r="K70">
        <v>7.1137243961719321</v>
      </c>
      <c r="M70">
        <v>64.285714285714278</v>
      </c>
      <c r="N70">
        <v>43.8</v>
      </c>
    </row>
    <row r="71" spans="9:14" x14ac:dyDescent="0.3">
      <c r="I71">
        <v>42</v>
      </c>
      <c r="J71">
        <v>47.586275603828071</v>
      </c>
      <c r="K71">
        <v>5.3137243961719278</v>
      </c>
      <c r="M71">
        <v>65.873015873015873</v>
      </c>
      <c r="N71">
        <v>44.3</v>
      </c>
    </row>
    <row r="72" spans="9:14" x14ac:dyDescent="0.3">
      <c r="I72">
        <v>43</v>
      </c>
      <c r="J72">
        <v>47.586275603828071</v>
      </c>
      <c r="K72">
        <v>-12.986275603828069</v>
      </c>
      <c r="M72">
        <v>67.460317460317455</v>
      </c>
      <c r="N72">
        <v>44.5</v>
      </c>
    </row>
    <row r="73" spans="9:14" x14ac:dyDescent="0.3">
      <c r="I73">
        <v>44</v>
      </c>
      <c r="J73">
        <v>39.480952380952388</v>
      </c>
      <c r="K73">
        <v>-4.7809523809523853</v>
      </c>
      <c r="M73">
        <v>69.047619047619051</v>
      </c>
      <c r="N73">
        <v>44.7</v>
      </c>
    </row>
    <row r="74" spans="9:14" x14ac:dyDescent="0.3">
      <c r="I74">
        <v>45</v>
      </c>
      <c r="J74">
        <v>34.873913043478261</v>
      </c>
      <c r="K74">
        <v>-2.9739130434782624</v>
      </c>
      <c r="M74">
        <v>70.634920634920633</v>
      </c>
      <c r="N74">
        <v>44.8</v>
      </c>
    </row>
    <row r="75" spans="9:14" x14ac:dyDescent="0.3">
      <c r="I75">
        <v>46</v>
      </c>
      <c r="J75">
        <v>34.873913043478261</v>
      </c>
      <c r="K75">
        <v>-9.4739130434782624</v>
      </c>
      <c r="M75">
        <v>72.222222222222229</v>
      </c>
      <c r="N75">
        <v>45.2</v>
      </c>
    </row>
    <row r="76" spans="9:14" x14ac:dyDescent="0.3">
      <c r="I76">
        <v>47</v>
      </c>
      <c r="J76">
        <v>39.480952380952388</v>
      </c>
      <c r="K76">
        <v>-8.5809523809523895</v>
      </c>
      <c r="M76">
        <v>73.80952380952381</v>
      </c>
      <c r="N76">
        <v>45.2</v>
      </c>
    </row>
    <row r="77" spans="9:14" x14ac:dyDescent="0.3">
      <c r="I77">
        <v>48</v>
      </c>
      <c r="J77">
        <v>39.480952380952388</v>
      </c>
      <c r="K77">
        <v>5.0190476190476119</v>
      </c>
      <c r="M77">
        <v>75.396825396825392</v>
      </c>
      <c r="N77">
        <v>46.4</v>
      </c>
    </row>
    <row r="78" spans="9:14" x14ac:dyDescent="0.3">
      <c r="I78">
        <v>49</v>
      </c>
      <c r="J78">
        <v>39.480952380952388</v>
      </c>
      <c r="K78">
        <v>6.9190476190476105</v>
      </c>
      <c r="M78">
        <v>76.984126984126988</v>
      </c>
      <c r="N78">
        <v>46.4</v>
      </c>
    </row>
    <row r="79" spans="9:14" x14ac:dyDescent="0.3">
      <c r="I79">
        <v>50</v>
      </c>
      <c r="J79">
        <v>34.873913043478261</v>
      </c>
      <c r="K79">
        <v>-10.07391304347826</v>
      </c>
      <c r="M79">
        <v>78.571428571428569</v>
      </c>
      <c r="N79">
        <v>46.5</v>
      </c>
    </row>
    <row r="80" spans="9:14" x14ac:dyDescent="0.3">
      <c r="I80">
        <v>51</v>
      </c>
      <c r="J80">
        <v>39.480952380952388</v>
      </c>
      <c r="K80">
        <v>-3.4809523809523881</v>
      </c>
      <c r="M80">
        <v>80.158730158730165</v>
      </c>
      <c r="N80">
        <v>46.9</v>
      </c>
    </row>
    <row r="81" spans="9:14" x14ac:dyDescent="0.3">
      <c r="I81">
        <v>52</v>
      </c>
      <c r="J81">
        <v>39.480952380952388</v>
      </c>
      <c r="K81">
        <v>-6.0809523809523895</v>
      </c>
      <c r="M81">
        <v>81.746031746031747</v>
      </c>
      <c r="N81">
        <v>47.1</v>
      </c>
    </row>
    <row r="82" spans="9:14" x14ac:dyDescent="0.3">
      <c r="I82">
        <v>53</v>
      </c>
      <c r="J82">
        <v>34.873913043478261</v>
      </c>
      <c r="K82">
        <v>-4.3739130434782609</v>
      </c>
      <c r="M82">
        <v>83.333333333333329</v>
      </c>
      <c r="N82">
        <v>49</v>
      </c>
    </row>
    <row r="83" spans="9:14" x14ac:dyDescent="0.3">
      <c r="I83">
        <v>54</v>
      </c>
      <c r="J83">
        <v>34.873913043478261</v>
      </c>
      <c r="K83">
        <v>-8.9739130434782624</v>
      </c>
      <c r="M83">
        <v>84.920634920634924</v>
      </c>
      <c r="N83">
        <v>49.1</v>
      </c>
    </row>
    <row r="84" spans="9:14" x14ac:dyDescent="0.3">
      <c r="I84">
        <v>55</v>
      </c>
      <c r="J84">
        <v>39.480952380952388</v>
      </c>
      <c r="K84">
        <v>-0.98095238095238813</v>
      </c>
      <c r="M84">
        <v>86.507936507936506</v>
      </c>
      <c r="N84">
        <v>49.5</v>
      </c>
    </row>
    <row r="85" spans="9:14" x14ac:dyDescent="0.3">
      <c r="I85">
        <v>56</v>
      </c>
      <c r="J85">
        <v>39.480952380952388</v>
      </c>
      <c r="K85">
        <v>7.4190476190476105</v>
      </c>
      <c r="M85">
        <v>88.095238095238088</v>
      </c>
      <c r="N85">
        <v>49.8</v>
      </c>
    </row>
    <row r="86" spans="9:14" x14ac:dyDescent="0.3">
      <c r="I86">
        <v>57</v>
      </c>
      <c r="J86">
        <v>39.480952380952388</v>
      </c>
      <c r="K86">
        <v>-2.180952380952391</v>
      </c>
      <c r="M86">
        <v>89.682539682539684</v>
      </c>
      <c r="N86">
        <v>50.5</v>
      </c>
    </row>
    <row r="87" spans="9:14" x14ac:dyDescent="0.3">
      <c r="I87">
        <v>58</v>
      </c>
      <c r="J87">
        <v>47.586275603828071</v>
      </c>
      <c r="K87">
        <v>-2.8862756038280679</v>
      </c>
      <c r="M87">
        <v>91.269841269841265</v>
      </c>
      <c r="N87">
        <v>52.1</v>
      </c>
    </row>
    <row r="88" spans="9:14" x14ac:dyDescent="0.3">
      <c r="I88">
        <v>59</v>
      </c>
      <c r="J88">
        <v>39.480952380952388</v>
      </c>
      <c r="K88">
        <v>-7.3809523809523867</v>
      </c>
      <c r="M88">
        <v>92.857142857142861</v>
      </c>
      <c r="N88">
        <v>52.4</v>
      </c>
    </row>
    <row r="89" spans="9:14" x14ac:dyDescent="0.3">
      <c r="I89">
        <v>60</v>
      </c>
      <c r="J89">
        <v>34.873913043478261</v>
      </c>
      <c r="K89">
        <v>-1.0739130434782638</v>
      </c>
      <c r="M89">
        <v>94.444444444444443</v>
      </c>
      <c r="N89">
        <v>52.9</v>
      </c>
    </row>
    <row r="90" spans="9:14" x14ac:dyDescent="0.3">
      <c r="I90">
        <v>61</v>
      </c>
      <c r="J90">
        <v>34.873913043478261</v>
      </c>
      <c r="K90">
        <v>4.2260869565217405</v>
      </c>
      <c r="M90">
        <v>96.031746031746025</v>
      </c>
      <c r="N90">
        <v>54.7</v>
      </c>
    </row>
    <row r="91" spans="9:14" x14ac:dyDescent="0.3">
      <c r="I91">
        <v>62</v>
      </c>
      <c r="J91">
        <v>34.873913043478261</v>
      </c>
      <c r="K91">
        <v>-2.0739130434782638</v>
      </c>
      <c r="M91">
        <v>97.61904761904762</v>
      </c>
      <c r="N91">
        <v>60.6</v>
      </c>
    </row>
    <row r="92" spans="9:14" ht="15" thickBot="1" x14ac:dyDescent="0.35">
      <c r="I92" s="2">
        <v>63</v>
      </c>
      <c r="J92" s="2">
        <v>39.480952380952388</v>
      </c>
      <c r="K92" s="2">
        <v>6.9190476190476105</v>
      </c>
      <c r="M92" s="2">
        <v>99.206349206349202</v>
      </c>
      <c r="N92" s="2">
        <v>69.139236472733302</v>
      </c>
    </row>
  </sheetData>
  <sortState xmlns:xlrd2="http://schemas.microsoft.com/office/spreadsheetml/2017/richdata2" ref="N30:N92">
    <sortCondition ref="N30"/>
  </sortState>
  <phoneticPr fontId="1" type="noConversion"/>
  <pageMargins left="0.7" right="0.7" top="0.75" bottom="0.75" header="0.3" footer="0.3"/>
  <pageSetup paperSize="9" orientation="portrait" horizontalDpi="300" verticalDpi="300"/>
  <headerFooter>
    <oddHeader>&amp;C&amp;"Aptos"&amp;10&amp;K0000FF Academic use&amp;1#_x000D_</oddHeader>
  </headerFooter>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tabSelected="1" workbookViewId="0">
      <selection activeCell="B12" sqref="B12"/>
    </sheetView>
  </sheetViews>
  <sheetFormatPr defaultColWidth="11.5546875" defaultRowHeight="14.4" x14ac:dyDescent="0.3"/>
  <cols>
    <col min="1" max="1" width="3.44140625" bestFit="1" customWidth="1"/>
    <col min="2" max="2" width="56.5546875" customWidth="1"/>
    <col min="3" max="3" width="18.88671875" customWidth="1"/>
    <col min="4" max="4" width="73.109375" customWidth="1"/>
  </cols>
  <sheetData>
    <row r="1" spans="1:4" x14ac:dyDescent="0.3">
      <c r="A1" s="13" t="s">
        <v>177</v>
      </c>
      <c r="B1" s="13" t="s">
        <v>178</v>
      </c>
      <c r="C1" s="13" t="s">
        <v>179</v>
      </c>
      <c r="D1" s="13" t="s">
        <v>180</v>
      </c>
    </row>
    <row r="2" spans="1:4" x14ac:dyDescent="0.3">
      <c r="A2" s="13">
        <v>1</v>
      </c>
      <c r="B2" s="13" t="s">
        <v>244</v>
      </c>
      <c r="C2" s="13" t="s">
        <v>181</v>
      </c>
      <c r="D2" s="13" t="s">
        <v>200</v>
      </c>
    </row>
    <row r="3" spans="1:4" x14ac:dyDescent="0.3">
      <c r="A3" s="13">
        <v>2</v>
      </c>
      <c r="B3" s="13" t="s">
        <v>245</v>
      </c>
      <c r="C3" s="13" t="s">
        <v>181</v>
      </c>
      <c r="D3" s="13" t="s">
        <v>201</v>
      </c>
    </row>
    <row r="4" spans="1:4" x14ac:dyDescent="0.3">
      <c r="A4" s="13">
        <v>3</v>
      </c>
      <c r="B4" s="13" t="s">
        <v>246</v>
      </c>
      <c r="C4" s="13" t="s">
        <v>181</v>
      </c>
      <c r="D4" s="13" t="s">
        <v>202</v>
      </c>
    </row>
    <row r="5" spans="1:4" x14ac:dyDescent="0.3">
      <c r="A5" s="13">
        <v>4</v>
      </c>
      <c r="B5" s="13" t="s">
        <v>247</v>
      </c>
      <c r="C5" s="13" t="s">
        <v>181</v>
      </c>
      <c r="D5" s="13" t="s">
        <v>203</v>
      </c>
    </row>
    <row r="6" spans="1:4" x14ac:dyDescent="0.3">
      <c r="A6" s="13">
        <v>5</v>
      </c>
      <c r="B6" s="13" t="s">
        <v>248</v>
      </c>
      <c r="C6" s="13" t="s">
        <v>181</v>
      </c>
      <c r="D6" s="13" t="s">
        <v>204</v>
      </c>
    </row>
    <row r="7" spans="1:4" x14ac:dyDescent="0.3">
      <c r="A7" s="13">
        <v>6</v>
      </c>
      <c r="B7" s="13" t="s">
        <v>249</v>
      </c>
      <c r="C7" s="13" t="s">
        <v>181</v>
      </c>
      <c r="D7" s="13" t="s">
        <v>205</v>
      </c>
    </row>
    <row r="8" spans="1:4" x14ac:dyDescent="0.3">
      <c r="A8" s="13">
        <v>7</v>
      </c>
      <c r="B8" s="13" t="s">
        <v>250</v>
      </c>
      <c r="C8" s="13" t="s">
        <v>181</v>
      </c>
      <c r="D8" s="13" t="s">
        <v>206</v>
      </c>
    </row>
    <row r="9" spans="1:4" x14ac:dyDescent="0.3">
      <c r="A9" s="13">
        <v>8</v>
      </c>
      <c r="B9" s="13" t="s">
        <v>251</v>
      </c>
      <c r="C9" s="13" t="s">
        <v>181</v>
      </c>
      <c r="D9" s="13" t="s">
        <v>207</v>
      </c>
    </row>
    <row r="10" spans="1:4" ht="15.6" x14ac:dyDescent="0.35">
      <c r="A10" s="13">
        <v>9</v>
      </c>
      <c r="B10" s="13" t="s">
        <v>252</v>
      </c>
      <c r="C10" s="13" t="s">
        <v>181</v>
      </c>
      <c r="D10" s="13">
        <v>12.712362560349812</v>
      </c>
    </row>
    <row r="11" spans="1:4" ht="16.2" x14ac:dyDescent="0.3">
      <c r="A11" s="13">
        <v>10</v>
      </c>
      <c r="B11" s="13" t="s">
        <v>253</v>
      </c>
      <c r="C11" s="13"/>
      <c r="D11" s="13">
        <v>0.32972389116242873</v>
      </c>
    </row>
    <row r="12" spans="1:4" ht="115.2" x14ac:dyDescent="0.3">
      <c r="A12" s="13">
        <v>11</v>
      </c>
      <c r="B12" s="13" t="s">
        <v>254</v>
      </c>
      <c r="C12" s="14" t="s">
        <v>208</v>
      </c>
      <c r="D12" s="13" t="str">
        <f>IF(Data3!N16&lt;0.05, "Reject Null Hypothesis", "Cannot Reject Null Hypothesis")</f>
        <v>Reject Null Hypothesis</v>
      </c>
    </row>
    <row r="13" spans="1:4" ht="57.6" x14ac:dyDescent="0.3">
      <c r="A13" s="13">
        <v>12</v>
      </c>
      <c r="B13" s="13" t="s">
        <v>279</v>
      </c>
      <c r="C13" s="13"/>
      <c r="D13" s="14" t="s">
        <v>280</v>
      </c>
    </row>
  </sheetData>
  <pageMargins left="0.7" right="0.7" top="0.75" bottom="0.75" header="0.3" footer="0.3"/>
  <pageSetup paperSize="9" orientation="portrait" horizontalDpi="300" verticalDpi="300"/>
  <headerFooter>
    <oddHeader>&amp;C&amp;"Aptos"&amp;10&amp;K0000FF Academic use&amp;1#_x000D_</oddHeader>
  </headerFooter>
</worksheet>
</file>

<file path=docMetadata/LabelInfo.xml><?xml version="1.0" encoding="utf-8"?>
<clbl:labelList xmlns:clbl="http://schemas.microsoft.com/office/2020/mipLabelMetadata">
  <clbl:label id="{62353966-648b-4d4d-947c-91681590b078}"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Data1</vt:lpstr>
      <vt:lpstr>QA_Data1</vt:lpstr>
      <vt:lpstr>Data2</vt:lpstr>
      <vt:lpstr>QA_Data2</vt:lpstr>
      <vt:lpstr>Data3</vt:lpstr>
      <vt:lpstr>QA_Data3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paul_z_chen</dc:creator>
  <cp:lastModifiedBy>Paul Chen (RP)</cp:lastModifiedBy>
  <dcterms:created xsi:type="dcterms:W3CDTF">2025-12-30T14:58:02Z</dcterms:created>
  <dcterms:modified xsi:type="dcterms:W3CDTF">2026-02-05T04:21:35Z</dcterms:modified>
</cp:coreProperties>
</file>
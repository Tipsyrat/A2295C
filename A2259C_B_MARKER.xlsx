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181" documentId="11_A443E1B2FF577DD385915AB3E14BFBF2C597995E" xr6:coauthVersionLast="47" xr6:coauthVersionMax="47" xr10:uidLastSave="{A2AE22DB-9BB7-4B65-AA1D-3CF104A78462}"/>
  <bookViews>
    <workbookView xWindow="-108" yWindow="-108" windowWidth="23256" windowHeight="12456" activeTab="6" xr2:uid="{00000000-000D-0000-FFFF-FFFF00000000}"/>
  </bookViews>
  <sheets>
    <sheet name="Meta" sheetId="8" r:id="rId1"/>
    <sheet name="Data1" sheetId="2" r:id="rId2"/>
    <sheet name="QA_Data1" sheetId="5" r:id="rId3"/>
    <sheet name="Data2" sheetId="3" r:id="rId4"/>
    <sheet name="QA_Data2" sheetId="6" r:id="rId5"/>
    <sheet name="Data3" sheetId="4" r:id="rId6"/>
    <sheet name="QA_Data3"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6" l="1"/>
  <c r="D11" i="5"/>
  <c r="D12" i="7"/>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D10" i="5" l="1"/>
  <c r="D9" i="6" a="1"/>
  <c r="D9" i="6" s="1"/>
  <c r="D8" i="6" a="1"/>
  <c r="D8" i="6" s="1"/>
  <c r="D9" i="5"/>
  <c r="D8" i="5"/>
  <c r="D7" i="5"/>
  <c r="D14" i="7" l="1"/>
  <c r="D14"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<sst xmlns="http://schemas.openxmlformats.org/spreadsheetml/2006/main" count="389" uniqueCount="270">
  <si>
    <t>Outlet_ID</t>
  </si>
  <si>
    <t>Nitrate_mgL</t>
  </si>
  <si>
    <t>O925</t>
  </si>
  <si>
    <t>O046</t>
  </si>
  <si>
    <t>O807</t>
  </si>
  <si>
    <t>O923</t>
  </si>
  <si>
    <t>O705</t>
  </si>
  <si>
    <t>O769</t>
  </si>
  <si>
    <t>O794</t>
  </si>
  <si>
    <t>O332</t>
  </si>
  <si>
    <t>O970</t>
  </si>
  <si>
    <t>O937</t>
  </si>
  <si>
    <t>O926</t>
  </si>
  <si>
    <t>O318</t>
  </si>
  <si>
    <t>O645</t>
  </si>
  <si>
    <t>O115</t>
  </si>
  <si>
    <t>O972</t>
  </si>
  <si>
    <t>O841</t>
  </si>
  <si>
    <t>O146</t>
  </si>
  <si>
    <t>O257</t>
  </si>
  <si>
    <t>O010</t>
  </si>
  <si>
    <t>O700</t>
  </si>
  <si>
    <t>O750</t>
  </si>
  <si>
    <t>O267</t>
  </si>
  <si>
    <t>O286</t>
  </si>
  <si>
    <t>O584</t>
  </si>
  <si>
    <t>O585</t>
  </si>
  <si>
    <t>O278</t>
  </si>
  <si>
    <t>O399</t>
  </si>
  <si>
    <t>O949</t>
  </si>
  <si>
    <t>O967</t>
  </si>
  <si>
    <t>O626</t>
  </si>
  <si>
    <t>O306</t>
  </si>
  <si>
    <t>O603</t>
  </si>
  <si>
    <t>O215</t>
  </si>
  <si>
    <t>O634</t>
  </si>
  <si>
    <t>O785</t>
  </si>
  <si>
    <t>O879</t>
  </si>
  <si>
    <t>O187</t>
  </si>
  <si>
    <t>O477</t>
  </si>
  <si>
    <t>O912</t>
  </si>
  <si>
    <t>O185</t>
  </si>
  <si>
    <t>O329</t>
  </si>
  <si>
    <t>O373</t>
  </si>
  <si>
    <t>O786</t>
  </si>
  <si>
    <t>O220</t>
  </si>
  <si>
    <t>O294</t>
  </si>
  <si>
    <t>O916</t>
  </si>
  <si>
    <t>O591</t>
  </si>
  <si>
    <t>O157</t>
  </si>
  <si>
    <t>Facility_ID</t>
  </si>
  <si>
    <t>Before_kWhDay</t>
  </si>
  <si>
    <t>After_kWhDay</t>
  </si>
  <si>
    <t>F837</t>
  </si>
  <si>
    <t>F586</t>
  </si>
  <si>
    <t>F514</t>
  </si>
  <si>
    <t>F021</t>
  </si>
  <si>
    <t>F320</t>
  </si>
  <si>
    <t>F732</t>
  </si>
  <si>
    <t>F886</t>
  </si>
  <si>
    <t>F565</t>
  </si>
  <si>
    <t>F662</t>
  </si>
  <si>
    <t>F038</t>
  </si>
  <si>
    <t>F297</t>
  </si>
  <si>
    <t>F252</t>
  </si>
  <si>
    <t>F762</t>
  </si>
  <si>
    <t>F470</t>
  </si>
  <si>
    <t>F398</t>
  </si>
  <si>
    <t>F388</t>
  </si>
  <si>
    <t>F828</t>
  </si>
  <si>
    <t>F274</t>
  </si>
  <si>
    <t>F881</t>
  </si>
  <si>
    <t>F023</t>
  </si>
  <si>
    <t>F853</t>
  </si>
  <si>
    <t>F910</t>
  </si>
  <si>
    <t>F287</t>
  </si>
  <si>
    <t>F747</t>
  </si>
  <si>
    <t>F121</t>
  </si>
  <si>
    <t>F404</t>
  </si>
  <si>
    <t>Site_ID</t>
  </si>
  <si>
    <t>Management_Regime</t>
  </si>
  <si>
    <t>Biodiversity_Index</t>
  </si>
  <si>
    <t>S2872</t>
  </si>
  <si>
    <t>Routine mow</t>
  </si>
  <si>
    <t>S9023</t>
  </si>
  <si>
    <t>Reduced mow</t>
  </si>
  <si>
    <t>S8057</t>
  </si>
  <si>
    <t>S2499</t>
  </si>
  <si>
    <t>Biodiverse planting</t>
  </si>
  <si>
    <t>S7030</t>
  </si>
  <si>
    <t>S8205</t>
  </si>
  <si>
    <t>S3074</t>
  </si>
  <si>
    <t>S5624</t>
  </si>
  <si>
    <t>S9029</t>
  </si>
  <si>
    <t>S0020</t>
  </si>
  <si>
    <t>S7410</t>
  </si>
  <si>
    <t>S3660</t>
  </si>
  <si>
    <t>S8445</t>
  </si>
  <si>
    <t>S4512</t>
  </si>
  <si>
    <t>S5794</t>
  </si>
  <si>
    <t>S0145</t>
  </si>
  <si>
    <t>S0062</t>
  </si>
  <si>
    <t>S1897</t>
  </si>
  <si>
    <t>S0684</t>
  </si>
  <si>
    <t>S3780</t>
  </si>
  <si>
    <t>S5283</t>
  </si>
  <si>
    <t>S8535</t>
  </si>
  <si>
    <t>S6019</t>
  </si>
  <si>
    <t>S8925</t>
  </si>
  <si>
    <t>S5369</t>
  </si>
  <si>
    <t>S6855</t>
  </si>
  <si>
    <t>S0231</t>
  </si>
  <si>
    <t>S7138</t>
  </si>
  <si>
    <t>S2286</t>
  </si>
  <si>
    <t>S3795</t>
  </si>
  <si>
    <t>S6489</t>
  </si>
  <si>
    <t>S9756</t>
  </si>
  <si>
    <t>S6621</t>
  </si>
  <si>
    <t>S5263</t>
  </si>
  <si>
    <t>S3253</t>
  </si>
  <si>
    <t>S5099</t>
  </si>
  <si>
    <t>S6694</t>
  </si>
  <si>
    <t>S1861</t>
  </si>
  <si>
    <t>S2413</t>
  </si>
  <si>
    <t>S8539</t>
  </si>
  <si>
    <t>S8946</t>
  </si>
  <si>
    <t>S6202</t>
  </si>
  <si>
    <t>S9359</t>
  </si>
  <si>
    <t>S1466</t>
  </si>
  <si>
    <t>S3608</t>
  </si>
  <si>
    <t>S1480</t>
  </si>
  <si>
    <t>S5262</t>
  </si>
  <si>
    <t>S5836</t>
  </si>
  <si>
    <t>S2857</t>
  </si>
  <si>
    <t>S2975</t>
  </si>
  <si>
    <t>S5391</t>
  </si>
  <si>
    <t>S3561</t>
  </si>
  <si>
    <t>S8605</t>
  </si>
  <si>
    <t>S2313</t>
  </si>
  <si>
    <t>S1680</t>
  </si>
  <si>
    <t>S7817</t>
  </si>
  <si>
    <t>S8630</t>
  </si>
  <si>
    <t>S6122</t>
  </si>
  <si>
    <t>S4201</t>
  </si>
  <si>
    <t>S6219</t>
  </si>
  <si>
    <t>S0472</t>
  </si>
  <si>
    <t>S4599</t>
  </si>
  <si>
    <t>S3774</t>
  </si>
  <si>
    <t>S3934</t>
  </si>
  <si>
    <t>S8082</t>
  </si>
  <si>
    <t>S1740</t>
  </si>
  <si>
    <t>S4898</t>
  </si>
  <si>
    <t>S4751</t>
  </si>
  <si>
    <t>S7674</t>
  </si>
  <si>
    <t>S0683</t>
  </si>
  <si>
    <t>S0997</t>
  </si>
  <si>
    <t>S4870</t>
  </si>
  <si>
    <t>S9385</t>
  </si>
  <si>
    <t>S7920</t>
  </si>
  <si>
    <t>S8519</t>
  </si>
  <si>
    <t>S7747</t>
  </si>
  <si>
    <t>S1340</t>
  </si>
  <si>
    <t>S7525</t>
  </si>
  <si>
    <t>S7539</t>
  </si>
  <si>
    <t>S8921</t>
  </si>
  <si>
    <t>S8506</t>
  </si>
  <si>
    <t>S1582</t>
  </si>
  <si>
    <t>S3400</t>
  </si>
  <si>
    <t>S1725</t>
  </si>
  <si>
    <t>No</t>
  </si>
  <si>
    <t>Question</t>
  </si>
  <si>
    <t>formula</t>
  </si>
  <si>
    <t>Answer</t>
  </si>
  <si>
    <t>Identify the dependent variable (Y).</t>
  </si>
  <si>
    <t/>
  </si>
  <si>
    <t>State the null hypothesis (H0) using the claimed mean.</t>
  </si>
  <si>
    <t>State the alternative hypothesis (H1).</t>
  </si>
  <si>
    <t>What statistical test is most appropriate?</t>
  </si>
  <si>
    <t>State one key assumption for this test.</t>
  </si>
  <si>
    <t>Compute the sample mean.</t>
  </si>
  <si>
    <t>'=AVERAGE(tZData[Nitrate_mgL])</t>
  </si>
  <si>
    <t>Compute the sample size n.</t>
  </si>
  <si>
    <t>'=COUNT(tZData[Nitrate_mgL])</t>
  </si>
  <si>
    <t>Compute the test statistic.</t>
  </si>
  <si>
    <t>'=(AVERAGE(tZData[Nitrate_mgL])-10)/(2.5/SQRT(COUNT(tZData[Nitrate_mgL])))</t>
  </si>
  <si>
    <t>Compute the corresponding p-value.</t>
  </si>
  <si>
    <t>Decision at α = 0.05 and a one-sentence conclusion.</t>
  </si>
  <si>
    <t>Y = Nitrate_mgL (continuous).</t>
  </si>
  <si>
    <t>H0: Mean nitrate concentration = 10 mg/L.</t>
  </si>
  <si>
    <t>H1: Mean nitrate concentration ≠ 10 mg/L.</t>
  </si>
  <si>
    <t>One-sample Z test (n &gt; 30; population sigma known, σ = 2.5).</t>
  </si>
  <si>
    <t>Observations are independent; distribution is approximately normal or n is large enough for CLT.</t>
  </si>
  <si>
    <t>If p-value &lt; 0.05, reject H0; conclude mean nitrate differs from the claimed mean. Otherwise, fail to reject H0.</t>
  </si>
  <si>
    <t>Identify the dependent comparison for this dataset.</t>
  </si>
  <si>
    <t>State the null hypothesis (H0).</t>
  </si>
  <si>
    <t>Explain which statistical test is most appropriate?</t>
  </si>
  <si>
    <t>Perform any preprocessing step needed in Excel before testing</t>
  </si>
  <si>
    <t>Determine the degree of freedom</t>
  </si>
  <si>
    <t>'=COUNT(tPairData[After_kWhDay]-tPairData[Before_kWhDay])-1)</t>
  </si>
  <si>
    <t>Compute the test statistic</t>
  </si>
  <si>
    <t>'=(AVERAGE(tPairData[After_kWhDay]-tPairData[Before_kWhDay]))/(STDEV.S(tPairData[After_kWhDay]-tPairData[Before_kWhDay])/SQRT(COUNT(tPairData[After_kWhDay]-tPairData[Before_kWhDay])))</t>
  </si>
  <si>
    <t>'=T.DIST(ABS((AVERAGE(tPairData[After_kWhDay]-tPairData[Before_kWhDay]))/(STDEV.S(tPairData[After_kWhDay]-tPairData[Before_kWhDay])/SQRT(COUNT(tPairData[After_kWhDay]-tPairData[Before_kWhDay])))), COUNT(tPairData[After_kWhDay]-tPairData[Before_kWhDay])-1)</t>
  </si>
  <si>
    <t>State two assumptions for a paired t-test.</t>
  </si>
  <si>
    <t>Paired differences = After_kWhDay - Before_kWhDay (continuous).</t>
  </si>
  <si>
    <t>H0: Mean paired difference = 0 (no change after retrofit).</t>
  </si>
  <si>
    <t>H1: Mean paired difference ≠ 0 (a change after retrofit).</t>
  </si>
  <si>
    <t>Paired t-test (same facilities measured twice).</t>
  </si>
  <si>
    <t>Create a Differences column (After - Before); exclude rows with missing values.</t>
  </si>
  <si>
    <t>Paired differences are approximately normal; pairs are correctly matched and independent of other pairs.</t>
  </si>
  <si>
    <t>If p-value &lt; 0.05, reject H0; conclude the retrofit changed mean electricity use. Otherwise, fail to reject H0.</t>
  </si>
  <si>
    <t>Identify the dependent variable.</t>
  </si>
  <si>
    <t>Identify the independent variable</t>
  </si>
  <si>
    <t>State the null hypothesis (H0) about the regime effect.</t>
  </si>
  <si>
    <t>What statistical test should be used?</t>
  </si>
  <si>
    <t>Perform any additional preprocessing required in Excel</t>
  </si>
  <si>
    <t>Name two assumptions of the linear model.</t>
  </si>
  <si>
    <t>What plot(s) should be used to check assumptions in Excel?</t>
  </si>
  <si>
    <t>What is the mean biodiversity index of the biodiverse planting regime (i.e., β_biodiverse_planting)</t>
  </si>
  <si>
    <t>What is the adjusted R2</t>
  </si>
  <si>
    <t>State the conclusion of the test at α = 0.05.</t>
  </si>
  <si>
    <t>Y = Biodiversity_Index (continuous).</t>
  </si>
  <si>
    <t>X = Management_Regime (categorical).</t>
  </si>
  <si>
    <t>H0: Management regime has no effect; all regime coefficients (relative to reference) = 0.</t>
  </si>
  <si>
    <t>H1: At least one regime coefficient ≠ 0; regime influences biodiversity index.</t>
  </si>
  <si>
    <t>Linear regression with dummy variables for regime categories.</t>
  </si>
  <si>
    <t>Create dummy columns for Reduced mow and Biodiverse planting (reference = Routine mow).</t>
  </si>
  <si>
    <t>Linearity in parameters; homoscedasticity of residuals; residuals roughly normal; independence.</t>
  </si>
  <si>
    <t>Residuals vs fitted plot for homoscedasticity; histogram of residuals for normality; (optional) Q-Q style check.</t>
  </si>
  <si>
    <t>If p-value &lt; 0.05, reject H0; conclude that different verge management regime have different biodiversity indices. Otherwise, fail to reject H0.</t>
  </si>
  <si>
    <t>=2*(1-NORM.S.DIST(ABS((AVERAGE(tZData[Nitrate_mgL])-10)/(2.5/SQRT(COUNT(tZData[Nitrate_mgL]))))),TRUE)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</si>
  <si>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</si>
  <si>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</si>
  <si>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</si>
  <si>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</si>
  <si>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</si>
  <si>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</si>
  <si>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</si>
  <si>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</si>
  <si>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</si>
  <si>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</si>
  <si>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</si>
  <si>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</si>
  <si>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</si>
  <si>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</si>
  <si>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</si>
  <si>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</si>
  <si>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</si>
  <si>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</si>
  <si>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</si>
  <si>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</si>
  <si>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</si>
  <si>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</si>
  <si>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</si>
  <si>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</si>
  <si>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</si>
  <si>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</si>
  <si>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Biodiversity_Index</t>
  </si>
  <si>
    <t>Residuals</t>
  </si>
  <si>
    <t>PROBABILITY OUTPUT</t>
  </si>
  <si>
    <t>Percentile</t>
  </si>
  <si>
    <t>Dataset</t>
  </si>
  <si>
    <t>Context</t>
  </si>
  <si>
    <t>Data1</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</si>
  <si>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</si>
  <si>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Data2</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</si>
  <si>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</si>
  <si>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Data3</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</si>
  <si>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</si>
  <si>
    <t>Briefly discuss one limitation of relying on generative AI to solve this question.</t>
  </si>
  <si>
    <t>AI may suggest an incorrect model if context is misunderstood 
AI may not correctly handle dummy variable creation in Excel 
AI may give generic interpretations without checking assumptions 
AI outputs depend on correct user input and may overlook data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</si>
</sst>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i/>
      <sz val="11"/>
      <color rgb="FF000000"/>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quotePrefix="1"/>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0" fillId="0" borderId="3" xfId="0" applyBorder="1" applyAlignment="1">
      <alignment horizontal="left" vertical="top"/>
    </xf>
    <xf numFmtId="0" fontId="0" fillId="0" borderId="0" xfId="0" applyAlignment="1">
      <alignment horizontal="left" vertical="top"/>
    </xf>
    <xf numFmtId="0" fontId="0" fillId="0" borderId="3" xfId="0" applyBorder="1" applyAlignment="1">
      <alignment horizontal="left" vertical="top" wrapText="1"/>
    </xf>
    <xf numFmtId="0" fontId="0" fillId="0" borderId="3" xfId="0" applyBorder="1"/>
    <xf numFmtId="0" fontId="0" fillId="0" borderId="3" xfId="0" applyBorder="1" applyAlignment="1">
      <alignment wrapTex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Routine mow  Residual Plot</a:t>
            </a:r>
          </a:p>
        </c:rich>
      </c:tx>
      <c:overlay val="0"/>
    </c:title>
    <c:autoTitleDeleted val="0"/>
    <c:plotArea>
      <c:layout/>
      <c:scatterChart>
        <c:scatterStyle val="lineMarker"/>
        <c:varyColors val="0"/>
        <c:ser>
          <c:idx val="0"/>
          <c:order val="0"/>
          <c:spPr>
            <a:ln w="28575">
              <a:noFill/>
            </a:ln>
          </c:spPr>
          <c:xVal>
            <c:numRef>
              <c:f>Data3!$C$2:$C$85</c:f>
              <c:numCache>
                <c:formatCode>General</c:formatCode>
                <c:ptCount val="84"/>
                <c:pt idx="0">
                  <c:v>1</c:v>
                </c:pt>
                <c:pt idx="1">
                  <c:v>0</c:v>
                </c:pt>
                <c:pt idx="2">
                  <c:v>1</c:v>
                </c:pt>
                <c:pt idx="3">
                  <c:v>0</c:v>
                </c:pt>
                <c:pt idx="4">
                  <c:v>1</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1</c:v>
                </c:pt>
                <c:pt idx="21">
                  <c:v>0</c:v>
                </c:pt>
                <c:pt idx="22">
                  <c:v>0</c:v>
                </c:pt>
                <c:pt idx="23">
                  <c:v>1</c:v>
                </c:pt>
                <c:pt idx="24">
                  <c:v>1</c:v>
                </c:pt>
                <c:pt idx="25">
                  <c:v>1</c:v>
                </c:pt>
                <c:pt idx="26">
                  <c:v>0</c:v>
                </c:pt>
                <c:pt idx="27">
                  <c:v>0</c:v>
                </c:pt>
                <c:pt idx="28">
                  <c:v>0</c:v>
                </c:pt>
                <c:pt idx="29">
                  <c:v>0</c:v>
                </c:pt>
                <c:pt idx="30">
                  <c:v>0</c:v>
                </c:pt>
                <c:pt idx="31">
                  <c:v>1</c:v>
                </c:pt>
                <c:pt idx="32">
                  <c:v>1</c:v>
                </c:pt>
                <c:pt idx="33">
                  <c:v>0</c:v>
                </c:pt>
                <c:pt idx="34">
                  <c:v>1</c:v>
                </c:pt>
                <c:pt idx="35">
                  <c:v>1</c:v>
                </c:pt>
                <c:pt idx="36">
                  <c:v>0</c:v>
                </c:pt>
                <c:pt idx="37">
                  <c:v>0</c:v>
                </c:pt>
                <c:pt idx="38">
                  <c:v>0</c:v>
                </c:pt>
                <c:pt idx="39">
                  <c:v>0</c:v>
                </c:pt>
                <c:pt idx="40">
                  <c:v>1</c:v>
                </c:pt>
                <c:pt idx="41">
                  <c:v>0</c:v>
                </c:pt>
                <c:pt idx="42">
                  <c:v>1</c:v>
                </c:pt>
                <c:pt idx="43">
                  <c:v>0</c:v>
                </c:pt>
                <c:pt idx="44">
                  <c:v>1</c:v>
                </c:pt>
                <c:pt idx="45">
                  <c:v>0</c:v>
                </c:pt>
                <c:pt idx="46">
                  <c:v>0</c:v>
                </c:pt>
                <c:pt idx="47">
                  <c:v>0</c:v>
                </c:pt>
                <c:pt idx="48">
                  <c:v>0</c:v>
                </c:pt>
                <c:pt idx="49">
                  <c:v>1</c:v>
                </c:pt>
                <c:pt idx="50">
                  <c:v>1</c:v>
                </c:pt>
                <c:pt idx="51">
                  <c:v>1</c:v>
                </c:pt>
                <c:pt idx="52">
                  <c:v>0</c:v>
                </c:pt>
                <c:pt idx="53">
                  <c:v>0</c:v>
                </c:pt>
                <c:pt idx="54">
                  <c:v>1</c:v>
                </c:pt>
                <c:pt idx="55">
                  <c:v>0</c:v>
                </c:pt>
                <c:pt idx="56">
                  <c:v>0</c:v>
                </c:pt>
                <c:pt idx="57">
                  <c:v>1</c:v>
                </c:pt>
                <c:pt idx="58">
                  <c:v>0</c:v>
                </c:pt>
                <c:pt idx="59">
                  <c:v>0</c:v>
                </c:pt>
                <c:pt idx="60">
                  <c:v>0</c:v>
                </c:pt>
                <c:pt idx="61">
                  <c:v>0</c:v>
                </c:pt>
                <c:pt idx="62">
                  <c:v>0</c:v>
                </c:pt>
                <c:pt idx="63">
                  <c:v>1</c:v>
                </c:pt>
                <c:pt idx="64">
                  <c:v>1</c:v>
                </c:pt>
                <c:pt idx="65">
                  <c:v>0</c:v>
                </c:pt>
                <c:pt idx="66">
                  <c:v>0</c:v>
                </c:pt>
                <c:pt idx="67">
                  <c:v>0</c:v>
                </c:pt>
                <c:pt idx="68">
                  <c:v>1</c:v>
                </c:pt>
                <c:pt idx="69">
                  <c:v>1</c:v>
                </c:pt>
                <c:pt idx="70">
                  <c:v>0</c:v>
                </c:pt>
                <c:pt idx="71">
                  <c:v>0</c:v>
                </c:pt>
                <c:pt idx="72">
                  <c:v>1</c:v>
                </c:pt>
                <c:pt idx="73">
                  <c:v>0</c:v>
                </c:pt>
                <c:pt idx="74">
                  <c:v>0</c:v>
                </c:pt>
                <c:pt idx="75">
                  <c:v>1</c:v>
                </c:pt>
                <c:pt idx="76">
                  <c:v>1</c:v>
                </c:pt>
                <c:pt idx="77">
                  <c:v>1</c:v>
                </c:pt>
                <c:pt idx="78">
                  <c:v>0</c:v>
                </c:pt>
                <c:pt idx="79">
                  <c:v>1</c:v>
                </c:pt>
                <c:pt idx="80">
                  <c:v>0</c:v>
                </c:pt>
                <c:pt idx="81">
                  <c:v>1</c:v>
                </c:pt>
                <c:pt idx="82">
                  <c:v>0</c:v>
                </c:pt>
                <c:pt idx="83">
                  <c:v>0</c:v>
                </c:pt>
              </c:numCache>
            </c:numRef>
          </c:xVal>
          <c:yVal>
            <c:numRef>
              <c:f>Data3!$I$27:$I$110</c:f>
              <c:numCache>
                <c:formatCode>General</c:formatCode>
                <c:ptCount val="84"/>
                <c:pt idx="0">
                  <c:v>-0.85483156578304431</c:v>
                </c:pt>
                <c:pt idx="1">
                  <c:v>1.3354838709677566</c:v>
                </c:pt>
                <c:pt idx="2">
                  <c:v>24.490115407708451</c:v>
                </c:pt>
                <c:pt idx="3">
                  <c:v>6.6869565217391411</c:v>
                </c:pt>
                <c:pt idx="4">
                  <c:v>-2.5548315657830472</c:v>
                </c:pt>
                <c:pt idx="5">
                  <c:v>1.6354838709677537</c:v>
                </c:pt>
                <c:pt idx="6">
                  <c:v>4.7869565217391354</c:v>
                </c:pt>
                <c:pt idx="7">
                  <c:v>1.5869565217391397</c:v>
                </c:pt>
                <c:pt idx="8">
                  <c:v>-4.3645161290322463</c:v>
                </c:pt>
                <c:pt idx="9">
                  <c:v>-3.5645161290322491</c:v>
                </c:pt>
                <c:pt idx="10">
                  <c:v>9.5869565217391397</c:v>
                </c:pt>
                <c:pt idx="11">
                  <c:v>1.5869565217391397</c:v>
                </c:pt>
                <c:pt idx="12">
                  <c:v>-1.0645161290322491</c:v>
                </c:pt>
                <c:pt idx="13">
                  <c:v>-2.0130434782608617</c:v>
                </c:pt>
                <c:pt idx="14">
                  <c:v>0.98695652173913828</c:v>
                </c:pt>
                <c:pt idx="15">
                  <c:v>-9.0645161290322456</c:v>
                </c:pt>
                <c:pt idx="16">
                  <c:v>3.5451684342169543</c:v>
                </c:pt>
                <c:pt idx="17">
                  <c:v>-3.5130434782608617</c:v>
                </c:pt>
                <c:pt idx="18">
                  <c:v>8.9869565217391383</c:v>
                </c:pt>
                <c:pt idx="19">
                  <c:v>7.7869565217391354</c:v>
                </c:pt>
                <c:pt idx="20">
                  <c:v>-4.154831565783045</c:v>
                </c:pt>
                <c:pt idx="21">
                  <c:v>-0.76451612903224486</c:v>
                </c:pt>
                <c:pt idx="22">
                  <c:v>1.7869565217391354</c:v>
                </c:pt>
                <c:pt idx="23">
                  <c:v>-12.554831565783047</c:v>
                </c:pt>
                <c:pt idx="24">
                  <c:v>4.3451684342169514</c:v>
                </c:pt>
                <c:pt idx="25">
                  <c:v>3.4451684342169528</c:v>
                </c:pt>
                <c:pt idx="26">
                  <c:v>4.2354838709677551</c:v>
                </c:pt>
                <c:pt idx="27">
                  <c:v>5.3354838709677566</c:v>
                </c:pt>
                <c:pt idx="28">
                  <c:v>1.9354838709677509</c:v>
                </c:pt>
                <c:pt idx="29">
                  <c:v>-1.2645161290322449</c:v>
                </c:pt>
                <c:pt idx="30">
                  <c:v>-4.3645161290322463</c:v>
                </c:pt>
                <c:pt idx="31">
                  <c:v>-1.0548315657830472</c:v>
                </c:pt>
                <c:pt idx="32">
                  <c:v>-7.8548315657830443</c:v>
                </c:pt>
                <c:pt idx="33">
                  <c:v>-10.013043478260862</c:v>
                </c:pt>
                <c:pt idx="34">
                  <c:v>-3.4548315657830457</c:v>
                </c:pt>
                <c:pt idx="35">
                  <c:v>-3.0548315657830472</c:v>
                </c:pt>
                <c:pt idx="36">
                  <c:v>0.93548387096775087</c:v>
                </c:pt>
                <c:pt idx="37">
                  <c:v>-8.4645161290322477</c:v>
                </c:pt>
                <c:pt idx="38">
                  <c:v>-20.513043478260862</c:v>
                </c:pt>
                <c:pt idx="39">
                  <c:v>7.5354838709677523</c:v>
                </c:pt>
                <c:pt idx="40">
                  <c:v>-1.8548315657830443</c:v>
                </c:pt>
                <c:pt idx="41">
                  <c:v>-1.1130434782608631</c:v>
                </c:pt>
                <c:pt idx="42">
                  <c:v>-2.2548315657830429</c:v>
                </c:pt>
                <c:pt idx="43">
                  <c:v>2.0354838709677523</c:v>
                </c:pt>
                <c:pt idx="44">
                  <c:v>-0.65483156578304857</c:v>
                </c:pt>
                <c:pt idx="45">
                  <c:v>8.4354838709677509</c:v>
                </c:pt>
                <c:pt idx="46">
                  <c:v>6.1354838709677537</c:v>
                </c:pt>
                <c:pt idx="47">
                  <c:v>5.8354838709677566</c:v>
                </c:pt>
                <c:pt idx="48">
                  <c:v>-5.8645161290322463</c:v>
                </c:pt>
                <c:pt idx="49">
                  <c:v>6.4451684342169528</c:v>
                </c:pt>
                <c:pt idx="50">
                  <c:v>-2.8548315657830443</c:v>
                </c:pt>
                <c:pt idx="51">
                  <c:v>6.2451684342169571</c:v>
                </c:pt>
                <c:pt idx="52">
                  <c:v>5.9354838709677509</c:v>
                </c:pt>
                <c:pt idx="53">
                  <c:v>0.43548387096775087</c:v>
                </c:pt>
                <c:pt idx="54">
                  <c:v>0.84516843421695143</c:v>
                </c:pt>
                <c:pt idx="55">
                  <c:v>4.9869565217391383</c:v>
                </c:pt>
                <c:pt idx="56">
                  <c:v>-13.213043478260861</c:v>
                </c:pt>
                <c:pt idx="57">
                  <c:v>-16.154831565783045</c:v>
                </c:pt>
                <c:pt idx="58">
                  <c:v>7.4869565217391383</c:v>
                </c:pt>
                <c:pt idx="59">
                  <c:v>-9.2645161290322449</c:v>
                </c:pt>
                <c:pt idx="60">
                  <c:v>-1.2645161290322449</c:v>
                </c:pt>
                <c:pt idx="61">
                  <c:v>-1.4130434782608603</c:v>
                </c:pt>
                <c:pt idx="62">
                  <c:v>-9.6130434782608631</c:v>
                </c:pt>
                <c:pt idx="63">
                  <c:v>-0.75483156578304289</c:v>
                </c:pt>
                <c:pt idx="64">
                  <c:v>-7.4548315657830457</c:v>
                </c:pt>
                <c:pt idx="65">
                  <c:v>8.4354838709677509</c:v>
                </c:pt>
                <c:pt idx="66">
                  <c:v>5.8869565217391369</c:v>
                </c:pt>
                <c:pt idx="67">
                  <c:v>-5.8130434782608589</c:v>
                </c:pt>
                <c:pt idx="68">
                  <c:v>1.6451684342169557</c:v>
                </c:pt>
                <c:pt idx="69">
                  <c:v>6.7451684342169571</c:v>
                </c:pt>
                <c:pt idx="70">
                  <c:v>5.1869565217391411</c:v>
                </c:pt>
                <c:pt idx="71">
                  <c:v>-1.6645161290322434</c:v>
                </c:pt>
                <c:pt idx="72">
                  <c:v>-1.2548315657830429</c:v>
                </c:pt>
                <c:pt idx="73">
                  <c:v>-4.3645161290322463</c:v>
                </c:pt>
                <c:pt idx="74">
                  <c:v>-9.3645161290322463</c:v>
                </c:pt>
                <c:pt idx="75">
                  <c:v>0.64516843421695569</c:v>
                </c:pt>
                <c:pt idx="76">
                  <c:v>6.4451684342169528</c:v>
                </c:pt>
                <c:pt idx="77">
                  <c:v>3.2451684342169571</c:v>
                </c:pt>
                <c:pt idx="78">
                  <c:v>-0.11304347826086314</c:v>
                </c:pt>
                <c:pt idx="79">
                  <c:v>-0.95483156578304573</c:v>
                </c:pt>
                <c:pt idx="80">
                  <c:v>-0.16451612903224344</c:v>
                </c:pt>
                <c:pt idx="81">
                  <c:v>1.6451684342169557</c:v>
                </c:pt>
                <c:pt idx="82">
                  <c:v>3.8354838709677566</c:v>
                </c:pt>
                <c:pt idx="83">
                  <c:v>0.83548387096775656</c:v>
                </c:pt>
              </c:numCache>
            </c:numRef>
          </c:yVal>
          <c:smooth val="0"/>
          <c:extLst>
            <c:ext xmlns:c16="http://schemas.microsoft.com/office/drawing/2014/chart" uri="{C3380CC4-5D6E-409C-BE32-E72D297353CC}">
              <c16:uniqueId val="{00000001-31A6-463F-A20B-734F1533BEBB}"/>
            </c:ext>
          </c:extLst>
        </c:ser>
        <c:dLbls>
          <c:showLegendKey val="0"/>
          <c:showVal val="0"/>
          <c:showCatName val="0"/>
          <c:showSerName val="0"/>
          <c:showPercent val="0"/>
          <c:showBubbleSize val="0"/>
        </c:dLbls>
        <c:axId val="1854525455"/>
        <c:axId val="1854518255"/>
      </c:scatterChart>
      <c:valAx>
        <c:axId val="1854525455"/>
        <c:scaling>
          <c:orientation val="minMax"/>
        </c:scaling>
        <c:delete val="0"/>
        <c:axPos val="b"/>
        <c:title>
          <c:tx>
            <c:rich>
              <a:bodyPr/>
              <a:lstStyle/>
              <a:p>
                <a:pPr>
                  <a:defRPr/>
                </a:pPr>
                <a:r>
                  <a:rPr lang="en-SG"/>
                  <a:t>Routine mow</a:t>
                </a:r>
              </a:p>
            </c:rich>
          </c:tx>
          <c:overlay val="0"/>
        </c:title>
        <c:numFmt formatCode="General" sourceLinked="1"/>
        <c:majorTickMark val="out"/>
        <c:minorTickMark val="none"/>
        <c:tickLblPos val="nextTo"/>
        <c:crossAx val="1854518255"/>
        <c:crosses val="autoZero"/>
        <c:crossBetween val="midCat"/>
      </c:valAx>
      <c:valAx>
        <c:axId val="1854518255"/>
        <c:scaling>
          <c:orientation val="minMax"/>
        </c:scaling>
        <c:delete val="0"/>
        <c:axPos val="l"/>
        <c:title>
          <c:tx>
            <c:rich>
              <a:bodyPr/>
              <a:lstStyle/>
              <a:p>
                <a:pPr>
                  <a:defRPr/>
                </a:pPr>
                <a:r>
                  <a:rPr lang="en-SG"/>
                  <a:t>Residuals</a:t>
                </a:r>
              </a:p>
            </c:rich>
          </c:tx>
          <c:overlay val="0"/>
        </c:title>
        <c:numFmt formatCode="General" sourceLinked="1"/>
        <c:majorTickMark val="out"/>
        <c:minorTickMark val="none"/>
        <c:tickLblPos val="nextTo"/>
        <c:crossAx val="185452545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Biodiverse planting  Residual Plot</a:t>
            </a:r>
          </a:p>
        </c:rich>
      </c:tx>
      <c:overlay val="0"/>
    </c:title>
    <c:autoTitleDeleted val="0"/>
    <c:plotArea>
      <c:layout/>
      <c:scatterChart>
        <c:scatterStyle val="lineMarker"/>
        <c:varyColors val="0"/>
        <c:ser>
          <c:idx val="0"/>
          <c:order val="0"/>
          <c:spPr>
            <a:ln w="28575">
              <a:noFill/>
            </a:ln>
          </c:spPr>
          <c:xVal>
            <c:numRef>
              <c:f>Data3!$D$2:$D$85</c:f>
              <c:numCache>
                <c:formatCode>General</c:formatCode>
                <c:ptCount val="84"/>
                <c:pt idx="0">
                  <c:v>0</c:v>
                </c:pt>
                <c:pt idx="1">
                  <c:v>0</c:v>
                </c:pt>
                <c:pt idx="2">
                  <c:v>0</c:v>
                </c:pt>
                <c:pt idx="3">
                  <c:v>1</c:v>
                </c:pt>
                <c:pt idx="4">
                  <c:v>0</c:v>
                </c:pt>
                <c:pt idx="5">
                  <c:v>0</c:v>
                </c:pt>
                <c:pt idx="6">
                  <c:v>1</c:v>
                </c:pt>
                <c:pt idx="7">
                  <c:v>1</c:v>
                </c:pt>
                <c:pt idx="8">
                  <c:v>0</c:v>
                </c:pt>
                <c:pt idx="9">
                  <c:v>0</c:v>
                </c:pt>
                <c:pt idx="10">
                  <c:v>1</c:v>
                </c:pt>
                <c:pt idx="11">
                  <c:v>1</c:v>
                </c:pt>
                <c:pt idx="12">
                  <c:v>0</c:v>
                </c:pt>
                <c:pt idx="13">
                  <c:v>1</c:v>
                </c:pt>
                <c:pt idx="14">
                  <c:v>1</c:v>
                </c:pt>
                <c:pt idx="15">
                  <c:v>0</c:v>
                </c:pt>
                <c:pt idx="16">
                  <c:v>0</c:v>
                </c:pt>
                <c:pt idx="17">
                  <c:v>1</c:v>
                </c:pt>
                <c:pt idx="18">
                  <c:v>1</c:v>
                </c:pt>
                <c:pt idx="19">
                  <c:v>1</c:v>
                </c:pt>
                <c:pt idx="20">
                  <c:v>0</c:v>
                </c:pt>
                <c:pt idx="21">
                  <c:v>0</c:v>
                </c:pt>
                <c:pt idx="22">
                  <c:v>1</c:v>
                </c:pt>
                <c:pt idx="23">
                  <c:v>0</c:v>
                </c:pt>
                <c:pt idx="24">
                  <c:v>0</c:v>
                </c:pt>
                <c:pt idx="25">
                  <c:v>0</c:v>
                </c:pt>
                <c:pt idx="26">
                  <c:v>0</c:v>
                </c:pt>
                <c:pt idx="27">
                  <c:v>0</c:v>
                </c:pt>
                <c:pt idx="28">
                  <c:v>0</c:v>
                </c:pt>
                <c:pt idx="29">
                  <c:v>0</c:v>
                </c:pt>
                <c:pt idx="30">
                  <c:v>0</c:v>
                </c:pt>
                <c:pt idx="31">
                  <c:v>0</c:v>
                </c:pt>
                <c:pt idx="32">
                  <c:v>0</c:v>
                </c:pt>
                <c:pt idx="33">
                  <c:v>1</c:v>
                </c:pt>
                <c:pt idx="34">
                  <c:v>0</c:v>
                </c:pt>
                <c:pt idx="35">
                  <c:v>0</c:v>
                </c:pt>
                <c:pt idx="36">
                  <c:v>0</c:v>
                </c:pt>
                <c:pt idx="37">
                  <c:v>0</c:v>
                </c:pt>
                <c:pt idx="38">
                  <c:v>1</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1</c:v>
                </c:pt>
                <c:pt idx="57">
                  <c:v>0</c:v>
                </c:pt>
                <c:pt idx="58">
                  <c:v>1</c:v>
                </c:pt>
                <c:pt idx="59">
                  <c:v>0</c:v>
                </c:pt>
                <c:pt idx="60">
                  <c:v>0</c:v>
                </c:pt>
                <c:pt idx="61">
                  <c:v>1</c:v>
                </c:pt>
                <c:pt idx="62">
                  <c:v>1</c:v>
                </c:pt>
                <c:pt idx="63">
                  <c:v>0</c:v>
                </c:pt>
                <c:pt idx="64">
                  <c:v>0</c:v>
                </c:pt>
                <c:pt idx="65">
                  <c:v>0</c:v>
                </c:pt>
                <c:pt idx="66">
                  <c:v>1</c:v>
                </c:pt>
                <c:pt idx="67">
                  <c:v>1</c:v>
                </c:pt>
                <c:pt idx="68">
                  <c:v>0</c:v>
                </c:pt>
                <c:pt idx="69">
                  <c:v>0</c:v>
                </c:pt>
                <c:pt idx="70">
                  <c:v>1</c:v>
                </c:pt>
                <c:pt idx="71">
                  <c:v>0</c:v>
                </c:pt>
                <c:pt idx="72">
                  <c:v>0</c:v>
                </c:pt>
                <c:pt idx="73">
                  <c:v>0</c:v>
                </c:pt>
                <c:pt idx="74">
                  <c:v>0</c:v>
                </c:pt>
                <c:pt idx="75">
                  <c:v>0</c:v>
                </c:pt>
                <c:pt idx="76">
                  <c:v>0</c:v>
                </c:pt>
                <c:pt idx="77">
                  <c:v>0</c:v>
                </c:pt>
                <c:pt idx="78">
                  <c:v>1</c:v>
                </c:pt>
                <c:pt idx="79">
                  <c:v>0</c:v>
                </c:pt>
                <c:pt idx="80">
                  <c:v>0</c:v>
                </c:pt>
                <c:pt idx="81">
                  <c:v>0</c:v>
                </c:pt>
                <c:pt idx="82">
                  <c:v>0</c:v>
                </c:pt>
                <c:pt idx="83">
                  <c:v>0</c:v>
                </c:pt>
              </c:numCache>
            </c:numRef>
          </c:xVal>
          <c:yVal>
            <c:numRef>
              <c:f>Data3!$I$27:$I$110</c:f>
              <c:numCache>
                <c:formatCode>General</c:formatCode>
                <c:ptCount val="84"/>
                <c:pt idx="0">
                  <c:v>-0.85483156578304431</c:v>
                </c:pt>
                <c:pt idx="1">
                  <c:v>1.3354838709677566</c:v>
                </c:pt>
                <c:pt idx="2">
                  <c:v>24.490115407708451</c:v>
                </c:pt>
                <c:pt idx="3">
                  <c:v>6.6869565217391411</c:v>
                </c:pt>
                <c:pt idx="4">
                  <c:v>-2.5548315657830472</c:v>
                </c:pt>
                <c:pt idx="5">
                  <c:v>1.6354838709677537</c:v>
                </c:pt>
                <c:pt idx="6">
                  <c:v>4.7869565217391354</c:v>
                </c:pt>
                <c:pt idx="7">
                  <c:v>1.5869565217391397</c:v>
                </c:pt>
                <c:pt idx="8">
                  <c:v>-4.3645161290322463</c:v>
                </c:pt>
                <c:pt idx="9">
                  <c:v>-3.5645161290322491</c:v>
                </c:pt>
                <c:pt idx="10">
                  <c:v>9.5869565217391397</c:v>
                </c:pt>
                <c:pt idx="11">
                  <c:v>1.5869565217391397</c:v>
                </c:pt>
                <c:pt idx="12">
                  <c:v>-1.0645161290322491</c:v>
                </c:pt>
                <c:pt idx="13">
                  <c:v>-2.0130434782608617</c:v>
                </c:pt>
                <c:pt idx="14">
                  <c:v>0.98695652173913828</c:v>
                </c:pt>
                <c:pt idx="15">
                  <c:v>-9.0645161290322456</c:v>
                </c:pt>
                <c:pt idx="16">
                  <c:v>3.5451684342169543</c:v>
                </c:pt>
                <c:pt idx="17">
                  <c:v>-3.5130434782608617</c:v>
                </c:pt>
                <c:pt idx="18">
                  <c:v>8.9869565217391383</c:v>
                </c:pt>
                <c:pt idx="19">
                  <c:v>7.7869565217391354</c:v>
                </c:pt>
                <c:pt idx="20">
                  <c:v>-4.154831565783045</c:v>
                </c:pt>
                <c:pt idx="21">
                  <c:v>-0.76451612903224486</c:v>
                </c:pt>
                <c:pt idx="22">
                  <c:v>1.7869565217391354</c:v>
                </c:pt>
                <c:pt idx="23">
                  <c:v>-12.554831565783047</c:v>
                </c:pt>
                <c:pt idx="24">
                  <c:v>4.3451684342169514</c:v>
                </c:pt>
                <c:pt idx="25">
                  <c:v>3.4451684342169528</c:v>
                </c:pt>
                <c:pt idx="26">
                  <c:v>4.2354838709677551</c:v>
                </c:pt>
                <c:pt idx="27">
                  <c:v>5.3354838709677566</c:v>
                </c:pt>
                <c:pt idx="28">
                  <c:v>1.9354838709677509</c:v>
                </c:pt>
                <c:pt idx="29">
                  <c:v>-1.2645161290322449</c:v>
                </c:pt>
                <c:pt idx="30">
                  <c:v>-4.3645161290322463</c:v>
                </c:pt>
                <c:pt idx="31">
                  <c:v>-1.0548315657830472</c:v>
                </c:pt>
                <c:pt idx="32">
                  <c:v>-7.8548315657830443</c:v>
                </c:pt>
                <c:pt idx="33">
                  <c:v>-10.013043478260862</c:v>
                </c:pt>
                <c:pt idx="34">
                  <c:v>-3.4548315657830457</c:v>
                </c:pt>
                <c:pt idx="35">
                  <c:v>-3.0548315657830472</c:v>
                </c:pt>
                <c:pt idx="36">
                  <c:v>0.93548387096775087</c:v>
                </c:pt>
                <c:pt idx="37">
                  <c:v>-8.4645161290322477</c:v>
                </c:pt>
                <c:pt idx="38">
                  <c:v>-20.513043478260862</c:v>
                </c:pt>
                <c:pt idx="39">
                  <c:v>7.5354838709677523</c:v>
                </c:pt>
                <c:pt idx="40">
                  <c:v>-1.8548315657830443</c:v>
                </c:pt>
                <c:pt idx="41">
                  <c:v>-1.1130434782608631</c:v>
                </c:pt>
                <c:pt idx="42">
                  <c:v>-2.2548315657830429</c:v>
                </c:pt>
                <c:pt idx="43">
                  <c:v>2.0354838709677523</c:v>
                </c:pt>
                <c:pt idx="44">
                  <c:v>-0.65483156578304857</c:v>
                </c:pt>
                <c:pt idx="45">
                  <c:v>8.4354838709677509</c:v>
                </c:pt>
                <c:pt idx="46">
                  <c:v>6.1354838709677537</c:v>
                </c:pt>
                <c:pt idx="47">
                  <c:v>5.8354838709677566</c:v>
                </c:pt>
                <c:pt idx="48">
                  <c:v>-5.8645161290322463</c:v>
                </c:pt>
                <c:pt idx="49">
                  <c:v>6.4451684342169528</c:v>
                </c:pt>
                <c:pt idx="50">
                  <c:v>-2.8548315657830443</c:v>
                </c:pt>
                <c:pt idx="51">
                  <c:v>6.2451684342169571</c:v>
                </c:pt>
                <c:pt idx="52">
                  <c:v>5.9354838709677509</c:v>
                </c:pt>
                <c:pt idx="53">
                  <c:v>0.43548387096775087</c:v>
                </c:pt>
                <c:pt idx="54">
                  <c:v>0.84516843421695143</c:v>
                </c:pt>
                <c:pt idx="55">
                  <c:v>4.9869565217391383</c:v>
                </c:pt>
                <c:pt idx="56">
                  <c:v>-13.213043478260861</c:v>
                </c:pt>
                <c:pt idx="57">
                  <c:v>-16.154831565783045</c:v>
                </c:pt>
                <c:pt idx="58">
                  <c:v>7.4869565217391383</c:v>
                </c:pt>
                <c:pt idx="59">
                  <c:v>-9.2645161290322449</c:v>
                </c:pt>
                <c:pt idx="60">
                  <c:v>-1.2645161290322449</c:v>
                </c:pt>
                <c:pt idx="61">
                  <c:v>-1.4130434782608603</c:v>
                </c:pt>
                <c:pt idx="62">
                  <c:v>-9.6130434782608631</c:v>
                </c:pt>
                <c:pt idx="63">
                  <c:v>-0.75483156578304289</c:v>
                </c:pt>
                <c:pt idx="64">
                  <c:v>-7.4548315657830457</c:v>
                </c:pt>
                <c:pt idx="65">
                  <c:v>8.4354838709677509</c:v>
                </c:pt>
                <c:pt idx="66">
                  <c:v>5.8869565217391369</c:v>
                </c:pt>
                <c:pt idx="67">
                  <c:v>-5.8130434782608589</c:v>
                </c:pt>
                <c:pt idx="68">
                  <c:v>1.6451684342169557</c:v>
                </c:pt>
                <c:pt idx="69">
                  <c:v>6.7451684342169571</c:v>
                </c:pt>
                <c:pt idx="70">
                  <c:v>5.1869565217391411</c:v>
                </c:pt>
                <c:pt idx="71">
                  <c:v>-1.6645161290322434</c:v>
                </c:pt>
                <c:pt idx="72">
                  <c:v>-1.2548315657830429</c:v>
                </c:pt>
                <c:pt idx="73">
                  <c:v>-4.3645161290322463</c:v>
                </c:pt>
                <c:pt idx="74">
                  <c:v>-9.3645161290322463</c:v>
                </c:pt>
                <c:pt idx="75">
                  <c:v>0.64516843421695569</c:v>
                </c:pt>
                <c:pt idx="76">
                  <c:v>6.4451684342169528</c:v>
                </c:pt>
                <c:pt idx="77">
                  <c:v>3.2451684342169571</c:v>
                </c:pt>
                <c:pt idx="78">
                  <c:v>-0.11304347826086314</c:v>
                </c:pt>
                <c:pt idx="79">
                  <c:v>-0.95483156578304573</c:v>
                </c:pt>
                <c:pt idx="80">
                  <c:v>-0.16451612903224344</c:v>
                </c:pt>
                <c:pt idx="81">
                  <c:v>1.6451684342169557</c:v>
                </c:pt>
                <c:pt idx="82">
                  <c:v>3.8354838709677566</c:v>
                </c:pt>
                <c:pt idx="83">
                  <c:v>0.83548387096775656</c:v>
                </c:pt>
              </c:numCache>
            </c:numRef>
          </c:yVal>
          <c:smooth val="0"/>
          <c:extLst>
            <c:ext xmlns:c16="http://schemas.microsoft.com/office/drawing/2014/chart" uri="{C3380CC4-5D6E-409C-BE32-E72D297353CC}">
              <c16:uniqueId val="{00000001-D9F5-4696-AC4D-4A82DD73FE64}"/>
            </c:ext>
          </c:extLst>
        </c:ser>
        <c:dLbls>
          <c:showLegendKey val="0"/>
          <c:showVal val="0"/>
          <c:showCatName val="0"/>
          <c:showSerName val="0"/>
          <c:showPercent val="0"/>
          <c:showBubbleSize val="0"/>
        </c:dLbls>
        <c:axId val="1854527375"/>
        <c:axId val="1854528335"/>
      </c:scatterChart>
      <c:valAx>
        <c:axId val="1854527375"/>
        <c:scaling>
          <c:orientation val="minMax"/>
        </c:scaling>
        <c:delete val="0"/>
        <c:axPos val="b"/>
        <c:title>
          <c:tx>
            <c:rich>
              <a:bodyPr/>
              <a:lstStyle/>
              <a:p>
                <a:pPr>
                  <a:defRPr/>
                </a:pPr>
                <a:r>
                  <a:rPr lang="en-SG"/>
                  <a:t>Biodiverse planting</a:t>
                </a:r>
              </a:p>
            </c:rich>
          </c:tx>
          <c:overlay val="0"/>
        </c:title>
        <c:numFmt formatCode="General" sourceLinked="1"/>
        <c:majorTickMark val="out"/>
        <c:minorTickMark val="none"/>
        <c:tickLblPos val="nextTo"/>
        <c:crossAx val="1854528335"/>
        <c:crosses val="autoZero"/>
        <c:crossBetween val="midCat"/>
      </c:valAx>
      <c:valAx>
        <c:axId val="1854528335"/>
        <c:scaling>
          <c:orientation val="minMax"/>
        </c:scaling>
        <c:delete val="0"/>
        <c:axPos val="l"/>
        <c:title>
          <c:tx>
            <c:rich>
              <a:bodyPr/>
              <a:lstStyle/>
              <a:p>
                <a:pPr>
                  <a:defRPr/>
                </a:pPr>
                <a:r>
                  <a:rPr lang="en-SG"/>
                  <a:t>Residuals</a:t>
                </a:r>
              </a:p>
            </c:rich>
          </c:tx>
          <c:overlay val="0"/>
        </c:title>
        <c:numFmt formatCode="General" sourceLinked="1"/>
        <c:majorTickMark val="out"/>
        <c:minorTickMark val="none"/>
        <c:tickLblPos val="nextTo"/>
        <c:crossAx val="18545273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Normal Probability Plot</a:t>
            </a:r>
          </a:p>
        </c:rich>
      </c:tx>
      <c:overlay val="0"/>
    </c:title>
    <c:autoTitleDeleted val="0"/>
    <c:plotArea>
      <c:layout/>
      <c:scatterChart>
        <c:scatterStyle val="lineMarker"/>
        <c:varyColors val="0"/>
        <c:ser>
          <c:idx val="0"/>
          <c:order val="0"/>
          <c:spPr>
            <a:ln w="28575">
              <a:noFill/>
            </a:ln>
          </c:spPr>
          <c:xVal>
            <c:numRef>
              <c:f>Data3!$K$27:$K$110</c:f>
              <c:numCache>
                <c:formatCode>General</c:formatCode>
                <c:ptCount val="84"/>
                <c:pt idx="0">
                  <c:v>0.59523809523809523</c:v>
                </c:pt>
                <c:pt idx="1">
                  <c:v>1.7857142857142856</c:v>
                </c:pt>
                <c:pt idx="2">
                  <c:v>2.9761904761904763</c:v>
                </c:pt>
                <c:pt idx="3">
                  <c:v>4.1666666666666661</c:v>
                </c:pt>
                <c:pt idx="4">
                  <c:v>5.3571428571428568</c:v>
                </c:pt>
                <c:pt idx="5">
                  <c:v>6.5476190476190474</c:v>
                </c:pt>
                <c:pt idx="6">
                  <c:v>7.7380952380952372</c:v>
                </c:pt>
                <c:pt idx="7">
                  <c:v>8.9285714285714288</c:v>
                </c:pt>
                <c:pt idx="8">
                  <c:v>10.119047619047619</c:v>
                </c:pt>
                <c:pt idx="9">
                  <c:v>11.309523809523808</c:v>
                </c:pt>
                <c:pt idx="10">
                  <c:v>12.5</c:v>
                </c:pt>
                <c:pt idx="11">
                  <c:v>13.69047619047619</c:v>
                </c:pt>
                <c:pt idx="12">
                  <c:v>14.88095238095238</c:v>
                </c:pt>
                <c:pt idx="13">
                  <c:v>16.071428571428573</c:v>
                </c:pt>
                <c:pt idx="14">
                  <c:v>17.261904761904763</c:v>
                </c:pt>
                <c:pt idx="15">
                  <c:v>18.452380952380953</c:v>
                </c:pt>
                <c:pt idx="16">
                  <c:v>19.642857142857142</c:v>
                </c:pt>
                <c:pt idx="17">
                  <c:v>20.833333333333332</c:v>
                </c:pt>
                <c:pt idx="18">
                  <c:v>22.023809523809522</c:v>
                </c:pt>
                <c:pt idx="19">
                  <c:v>23.214285714285715</c:v>
                </c:pt>
                <c:pt idx="20">
                  <c:v>24.404761904761905</c:v>
                </c:pt>
                <c:pt idx="21">
                  <c:v>25.595238095238095</c:v>
                </c:pt>
                <c:pt idx="22">
                  <c:v>26.785714285714285</c:v>
                </c:pt>
                <c:pt idx="23">
                  <c:v>27.976190476190474</c:v>
                </c:pt>
                <c:pt idx="24">
                  <c:v>29.166666666666664</c:v>
                </c:pt>
                <c:pt idx="25">
                  <c:v>30.357142857142858</c:v>
                </c:pt>
                <c:pt idx="26">
                  <c:v>31.547619047619047</c:v>
                </c:pt>
                <c:pt idx="27">
                  <c:v>32.738095238095241</c:v>
                </c:pt>
                <c:pt idx="28">
                  <c:v>33.928571428571431</c:v>
                </c:pt>
                <c:pt idx="29">
                  <c:v>35.11904761904762</c:v>
                </c:pt>
                <c:pt idx="30">
                  <c:v>36.30952380952381</c:v>
                </c:pt>
                <c:pt idx="31">
                  <c:v>37.5</c:v>
                </c:pt>
                <c:pt idx="32">
                  <c:v>38.69047619047619</c:v>
                </c:pt>
                <c:pt idx="33">
                  <c:v>39.88095238095238</c:v>
                </c:pt>
                <c:pt idx="34">
                  <c:v>41.071428571428569</c:v>
                </c:pt>
                <c:pt idx="35">
                  <c:v>42.261904761904759</c:v>
                </c:pt>
                <c:pt idx="36">
                  <c:v>43.452380952380949</c:v>
                </c:pt>
                <c:pt idx="37">
                  <c:v>44.642857142857139</c:v>
                </c:pt>
                <c:pt idx="38">
                  <c:v>45.833333333333336</c:v>
                </c:pt>
                <c:pt idx="39">
                  <c:v>47.023809523809526</c:v>
                </c:pt>
                <c:pt idx="40">
                  <c:v>48.214285714285715</c:v>
                </c:pt>
                <c:pt idx="41">
                  <c:v>49.404761904761905</c:v>
                </c:pt>
                <c:pt idx="42">
                  <c:v>50.595238095238095</c:v>
                </c:pt>
                <c:pt idx="43">
                  <c:v>51.785714285714285</c:v>
                </c:pt>
                <c:pt idx="44">
                  <c:v>52.976190476190474</c:v>
                </c:pt>
                <c:pt idx="45">
                  <c:v>54.166666666666664</c:v>
                </c:pt>
                <c:pt idx="46">
                  <c:v>55.357142857142854</c:v>
                </c:pt>
                <c:pt idx="47">
                  <c:v>56.547619047619044</c:v>
                </c:pt>
                <c:pt idx="48">
                  <c:v>57.738095238095234</c:v>
                </c:pt>
                <c:pt idx="49">
                  <c:v>58.928571428571431</c:v>
                </c:pt>
                <c:pt idx="50">
                  <c:v>60.11904761904762</c:v>
                </c:pt>
                <c:pt idx="51">
                  <c:v>61.30952380952381</c:v>
                </c:pt>
                <c:pt idx="52">
                  <c:v>62.5</c:v>
                </c:pt>
                <c:pt idx="53">
                  <c:v>63.69047619047619</c:v>
                </c:pt>
                <c:pt idx="54">
                  <c:v>64.880952380952394</c:v>
                </c:pt>
                <c:pt idx="55">
                  <c:v>66.071428571428584</c:v>
                </c:pt>
                <c:pt idx="56">
                  <c:v>67.261904761904773</c:v>
                </c:pt>
                <c:pt idx="57">
                  <c:v>68.452380952380963</c:v>
                </c:pt>
                <c:pt idx="58">
                  <c:v>69.642857142857153</c:v>
                </c:pt>
                <c:pt idx="59">
                  <c:v>70.833333333333343</c:v>
                </c:pt>
                <c:pt idx="60">
                  <c:v>72.023809523809533</c:v>
                </c:pt>
                <c:pt idx="61">
                  <c:v>73.214285714285722</c:v>
                </c:pt>
                <c:pt idx="62">
                  <c:v>74.404761904761912</c:v>
                </c:pt>
                <c:pt idx="63">
                  <c:v>75.595238095238102</c:v>
                </c:pt>
                <c:pt idx="64">
                  <c:v>76.785714285714292</c:v>
                </c:pt>
                <c:pt idx="65">
                  <c:v>77.976190476190482</c:v>
                </c:pt>
                <c:pt idx="66">
                  <c:v>79.166666666666671</c:v>
                </c:pt>
                <c:pt idx="67">
                  <c:v>80.357142857142861</c:v>
                </c:pt>
                <c:pt idx="68">
                  <c:v>81.547619047619051</c:v>
                </c:pt>
                <c:pt idx="69">
                  <c:v>82.738095238095241</c:v>
                </c:pt>
                <c:pt idx="70">
                  <c:v>83.928571428571431</c:v>
                </c:pt>
                <c:pt idx="71">
                  <c:v>85.11904761904762</c:v>
                </c:pt>
                <c:pt idx="72">
                  <c:v>86.30952380952381</c:v>
                </c:pt>
                <c:pt idx="73">
                  <c:v>87.5</c:v>
                </c:pt>
                <c:pt idx="74">
                  <c:v>88.69047619047619</c:v>
                </c:pt>
                <c:pt idx="75">
                  <c:v>89.880952380952394</c:v>
                </c:pt>
                <c:pt idx="76">
                  <c:v>91.071428571428584</c:v>
                </c:pt>
                <c:pt idx="77">
                  <c:v>92.261904761904773</c:v>
                </c:pt>
                <c:pt idx="78">
                  <c:v>93.452380952380963</c:v>
                </c:pt>
                <c:pt idx="79">
                  <c:v>94.642857142857153</c:v>
                </c:pt>
                <c:pt idx="80">
                  <c:v>95.833333333333343</c:v>
                </c:pt>
                <c:pt idx="81">
                  <c:v>97.023809523809533</c:v>
                </c:pt>
                <c:pt idx="82">
                  <c:v>98.214285714285722</c:v>
                </c:pt>
                <c:pt idx="83">
                  <c:v>99.404761904761912</c:v>
                </c:pt>
              </c:numCache>
            </c:numRef>
          </c:xVal>
          <c:yVal>
            <c:numRef>
              <c:f>Data3!$L$27:$L$110</c:f>
              <c:numCache>
                <c:formatCode>General</c:formatCode>
                <c:ptCount val="84"/>
                <c:pt idx="0">
                  <c:v>18.8</c:v>
                </c:pt>
                <c:pt idx="1">
                  <c:v>22</c:v>
                </c:pt>
                <c:pt idx="2">
                  <c:v>22.4</c:v>
                </c:pt>
                <c:pt idx="3">
                  <c:v>27.1</c:v>
                </c:pt>
                <c:pt idx="4">
                  <c:v>27.5</c:v>
                </c:pt>
                <c:pt idx="5">
                  <c:v>29.3</c:v>
                </c:pt>
                <c:pt idx="6">
                  <c:v>30.8</c:v>
                </c:pt>
                <c:pt idx="7">
                  <c:v>31</c:v>
                </c:pt>
                <c:pt idx="8">
                  <c:v>31.1</c:v>
                </c:pt>
                <c:pt idx="9">
                  <c:v>31.3</c:v>
                </c:pt>
                <c:pt idx="10">
                  <c:v>31.5</c:v>
                </c:pt>
                <c:pt idx="11">
                  <c:v>31.9</c:v>
                </c:pt>
                <c:pt idx="12">
                  <c:v>31.9</c:v>
                </c:pt>
                <c:pt idx="13">
                  <c:v>32.1</c:v>
                </c:pt>
                <c:pt idx="14">
                  <c:v>32.4</c:v>
                </c:pt>
                <c:pt idx="15">
                  <c:v>32.5</c:v>
                </c:pt>
                <c:pt idx="16">
                  <c:v>32.700000000000003</c:v>
                </c:pt>
                <c:pt idx="17">
                  <c:v>32.9</c:v>
                </c:pt>
                <c:pt idx="18">
                  <c:v>33.1</c:v>
                </c:pt>
                <c:pt idx="19">
                  <c:v>33.700000000000003</c:v>
                </c:pt>
                <c:pt idx="20">
                  <c:v>33.9</c:v>
                </c:pt>
                <c:pt idx="21">
                  <c:v>34</c:v>
                </c:pt>
                <c:pt idx="22">
                  <c:v>34.1</c:v>
                </c:pt>
                <c:pt idx="23">
                  <c:v>34.200000000000003</c:v>
                </c:pt>
                <c:pt idx="24">
                  <c:v>34.299999999999997</c:v>
                </c:pt>
                <c:pt idx="25">
                  <c:v>34.5</c:v>
                </c:pt>
                <c:pt idx="26">
                  <c:v>35.6</c:v>
                </c:pt>
                <c:pt idx="27">
                  <c:v>35.799999999999997</c:v>
                </c:pt>
                <c:pt idx="28">
                  <c:v>36</c:v>
                </c:pt>
                <c:pt idx="29">
                  <c:v>36</c:v>
                </c:pt>
                <c:pt idx="30">
                  <c:v>36</c:v>
                </c:pt>
                <c:pt idx="31">
                  <c:v>36.6</c:v>
                </c:pt>
                <c:pt idx="32">
                  <c:v>36.6</c:v>
                </c:pt>
                <c:pt idx="33">
                  <c:v>36.700000000000003</c:v>
                </c:pt>
                <c:pt idx="34">
                  <c:v>36.799999999999997</c:v>
                </c:pt>
                <c:pt idx="35">
                  <c:v>38.200000000000003</c:v>
                </c:pt>
                <c:pt idx="36">
                  <c:v>38.4</c:v>
                </c:pt>
                <c:pt idx="37">
                  <c:v>38.5</c:v>
                </c:pt>
                <c:pt idx="38">
                  <c:v>38.700000000000003</c:v>
                </c:pt>
                <c:pt idx="39">
                  <c:v>39</c:v>
                </c:pt>
                <c:pt idx="40">
                  <c:v>39.1</c:v>
                </c:pt>
                <c:pt idx="41">
                  <c:v>39.1</c:v>
                </c:pt>
                <c:pt idx="42">
                  <c:v>39.299999999999997</c:v>
                </c:pt>
                <c:pt idx="43">
                  <c:v>39.299999999999997</c:v>
                </c:pt>
                <c:pt idx="44">
                  <c:v>39.6</c:v>
                </c:pt>
                <c:pt idx="45">
                  <c:v>40.200000000000003</c:v>
                </c:pt>
                <c:pt idx="46">
                  <c:v>40.5</c:v>
                </c:pt>
                <c:pt idx="47">
                  <c:v>40.799999999999997</c:v>
                </c:pt>
                <c:pt idx="48">
                  <c:v>41.1</c:v>
                </c:pt>
                <c:pt idx="49">
                  <c:v>41.2</c:v>
                </c:pt>
                <c:pt idx="50">
                  <c:v>41.2</c:v>
                </c:pt>
                <c:pt idx="51">
                  <c:v>41.3</c:v>
                </c:pt>
                <c:pt idx="52">
                  <c:v>41.4</c:v>
                </c:pt>
                <c:pt idx="53">
                  <c:v>41.4</c:v>
                </c:pt>
                <c:pt idx="54">
                  <c:v>41.4</c:v>
                </c:pt>
                <c:pt idx="55">
                  <c:v>41.7</c:v>
                </c:pt>
                <c:pt idx="56">
                  <c:v>41.7</c:v>
                </c:pt>
                <c:pt idx="57">
                  <c:v>42</c:v>
                </c:pt>
                <c:pt idx="58">
                  <c:v>42.3</c:v>
                </c:pt>
                <c:pt idx="59">
                  <c:v>42.4</c:v>
                </c:pt>
                <c:pt idx="60">
                  <c:v>42.4</c:v>
                </c:pt>
                <c:pt idx="61">
                  <c:v>43.5</c:v>
                </c:pt>
                <c:pt idx="62">
                  <c:v>44.1</c:v>
                </c:pt>
                <c:pt idx="63">
                  <c:v>44.1</c:v>
                </c:pt>
                <c:pt idx="64">
                  <c:v>44.2</c:v>
                </c:pt>
                <c:pt idx="65">
                  <c:v>44.3</c:v>
                </c:pt>
                <c:pt idx="66">
                  <c:v>44.6</c:v>
                </c:pt>
                <c:pt idx="67">
                  <c:v>45.7</c:v>
                </c:pt>
                <c:pt idx="68">
                  <c:v>46.2</c:v>
                </c:pt>
                <c:pt idx="69">
                  <c:v>46.3</c:v>
                </c:pt>
                <c:pt idx="70">
                  <c:v>46.5</c:v>
                </c:pt>
                <c:pt idx="71">
                  <c:v>47.3</c:v>
                </c:pt>
                <c:pt idx="72">
                  <c:v>47.5</c:v>
                </c:pt>
                <c:pt idx="73">
                  <c:v>47.7</c:v>
                </c:pt>
                <c:pt idx="74">
                  <c:v>47.9</c:v>
                </c:pt>
                <c:pt idx="75">
                  <c:v>48.4</c:v>
                </c:pt>
                <c:pt idx="76">
                  <c:v>48.8</c:v>
                </c:pt>
                <c:pt idx="77">
                  <c:v>48.8</c:v>
                </c:pt>
                <c:pt idx="78">
                  <c:v>49.2</c:v>
                </c:pt>
                <c:pt idx="79">
                  <c:v>50</c:v>
                </c:pt>
                <c:pt idx="80">
                  <c:v>50.3</c:v>
                </c:pt>
                <c:pt idx="81">
                  <c:v>51.5</c:v>
                </c:pt>
                <c:pt idx="82">
                  <c:v>52.1</c:v>
                </c:pt>
                <c:pt idx="83">
                  <c:v>59.444946973491497</c:v>
                </c:pt>
              </c:numCache>
            </c:numRef>
          </c:yVal>
          <c:smooth val="0"/>
          <c:extLst>
            <c:ext xmlns:c16="http://schemas.microsoft.com/office/drawing/2014/chart" uri="{C3380CC4-5D6E-409C-BE32-E72D297353CC}">
              <c16:uniqueId val="{00000001-619E-4E6E-ABDF-E0B3DCB6DEFA}"/>
            </c:ext>
          </c:extLst>
        </c:ser>
        <c:dLbls>
          <c:showLegendKey val="0"/>
          <c:showVal val="0"/>
          <c:showCatName val="0"/>
          <c:showSerName val="0"/>
          <c:showPercent val="0"/>
          <c:showBubbleSize val="0"/>
        </c:dLbls>
        <c:axId val="810472095"/>
        <c:axId val="810471615"/>
      </c:scatterChart>
      <c:valAx>
        <c:axId val="810472095"/>
        <c:scaling>
          <c:orientation val="minMax"/>
        </c:scaling>
        <c:delete val="0"/>
        <c:axPos val="b"/>
        <c:title>
          <c:tx>
            <c:rich>
              <a:bodyPr/>
              <a:lstStyle/>
              <a:p>
                <a:pPr>
                  <a:defRPr/>
                </a:pPr>
                <a:r>
                  <a:rPr lang="en-SG"/>
                  <a:t>Sample Percentile</a:t>
                </a:r>
              </a:p>
            </c:rich>
          </c:tx>
          <c:overlay val="0"/>
        </c:title>
        <c:numFmt formatCode="General" sourceLinked="1"/>
        <c:majorTickMark val="out"/>
        <c:minorTickMark val="none"/>
        <c:tickLblPos val="nextTo"/>
        <c:crossAx val="810471615"/>
        <c:crosses val="autoZero"/>
        <c:crossBetween val="midCat"/>
      </c:valAx>
      <c:valAx>
        <c:axId val="810471615"/>
        <c:scaling>
          <c:orientation val="minMax"/>
        </c:scaling>
        <c:delete val="0"/>
        <c:axPos val="l"/>
        <c:title>
          <c:tx>
            <c:rich>
              <a:bodyPr/>
              <a:lstStyle/>
              <a:p>
                <a:pPr>
                  <a:defRPr/>
                </a:pPr>
                <a:r>
                  <a:rPr lang="en-SG"/>
                  <a:t>Biodiversity_Index</a:t>
                </a:r>
              </a:p>
            </c:rich>
          </c:tx>
          <c:overlay val="0"/>
        </c:title>
        <c:numFmt formatCode="General" sourceLinked="1"/>
        <c:majorTickMark val="out"/>
        <c:minorTickMark val="none"/>
        <c:tickLblPos val="nextTo"/>
        <c:crossAx val="81047209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251460</xdr:colOff>
      <xdr:row>1</xdr:row>
      <xdr:rowOff>175260</xdr:rowOff>
    </xdr:from>
    <xdr:to>
      <xdr:col>21</xdr:col>
      <xdr:colOff>251460</xdr:colOff>
      <xdr:row>11</xdr:row>
      <xdr:rowOff>175260</xdr:rowOff>
    </xdr:to>
    <xdr:graphicFrame macro="">
      <xdr:nvGraphicFramePr>
        <xdr:cNvPr id="2" name="Chart 1">
          <a:extLst>
            <a:ext uri="{FF2B5EF4-FFF2-40B4-BE49-F238E27FC236}">
              <a16:creationId xmlns:a16="http://schemas.microsoft.com/office/drawing/2014/main" id="{97BA6F81-6547-169C-636C-9F5BA2775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251460</xdr:colOff>
      <xdr:row>12</xdr:row>
      <xdr:rowOff>121920</xdr:rowOff>
    </xdr:from>
    <xdr:to>
      <xdr:col>21</xdr:col>
      <xdr:colOff>251460</xdr:colOff>
      <xdr:row>22</xdr:row>
      <xdr:rowOff>114300</xdr:rowOff>
    </xdr:to>
    <xdr:graphicFrame macro="">
      <xdr:nvGraphicFramePr>
        <xdr:cNvPr id="3" name="Chart 2">
          <a:extLst>
            <a:ext uri="{FF2B5EF4-FFF2-40B4-BE49-F238E27FC236}">
              <a16:creationId xmlns:a16="http://schemas.microsoft.com/office/drawing/2014/main" id="{7F1F17BD-3421-3993-BD9E-24BBE66F4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220980</xdr:colOff>
      <xdr:row>23</xdr:row>
      <xdr:rowOff>114300</xdr:rowOff>
    </xdr:from>
    <xdr:to>
      <xdr:col>21</xdr:col>
      <xdr:colOff>220980</xdr:colOff>
      <xdr:row>33</xdr:row>
      <xdr:rowOff>129540</xdr:rowOff>
    </xdr:to>
    <xdr:graphicFrame macro="">
      <xdr:nvGraphicFramePr>
        <xdr:cNvPr id="4" name="Chart 3">
          <a:extLst>
            <a:ext uri="{FF2B5EF4-FFF2-40B4-BE49-F238E27FC236}">
              <a16:creationId xmlns:a16="http://schemas.microsoft.com/office/drawing/2014/main" id="{0D3B0B1B-2552-57D5-0010-D03315D6F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50" totalsRowShown="0">
  <autoFilter ref="A1:B50"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27" totalsRowShown="0">
  <autoFilter ref="A1:C27"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E85" totalsRowShown="0">
  <autoFilter ref="A1:E85" xr:uid="{00000000-0009-0000-0100-000005000000}"/>
  <tableColumns count="5">
    <tableColumn id="1" xr3:uid="{00000000-0010-0000-0200-000001000000}" name="Site_ID"/>
    <tableColumn id="2" xr3:uid="{00000000-0010-0000-0200-000002000000}" name="Management_Regime"/>
    <tableColumn id="4" xr3:uid="{8FB1B7CB-7E06-4AC2-B397-6E136250AF21}" name="Routine mow" dataDxfId="1">
      <calculatedColumnFormula>IF(tlmdata[[#This Row],[Management_Regime]]=tlmdata[[#Headers],[Routine mow]],1,0)</calculatedColumnFormula>
    </tableColumn>
    <tableColumn id="5" xr3:uid="{FE4A34FA-AC31-471F-80F6-CB9E0BF4CE63}" name="Biodiverse planting" dataDxfId="0">
      <calculatedColumnFormula>IF(tlmdata[[#This Row],[Management_Regime]]=tlmdata[[#Headers],[Biodiverse planting]],1,0)</calculatedColumnFormula>
    </tableColumn>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workbookViewId="0">
      <selection activeCell="B2" sqref="B2"/>
    </sheetView>
  </sheetViews>
  <sheetFormatPr defaultColWidth="11.5546875" defaultRowHeight="14.4" x14ac:dyDescent="0.3"/>
  <cols>
    <col min="2" max="2" width="39.33203125" customWidth="1"/>
  </cols>
  <sheetData>
    <row r="1" spans="1:3" x14ac:dyDescent="0.3">
      <c r="A1" s="5" t="s">
        <v>260</v>
      </c>
      <c r="B1" s="5" t="s">
        <v>261</v>
      </c>
      <c r="C1" s="6"/>
    </row>
    <row r="2" spans="1:3" ht="230.4" x14ac:dyDescent="0.3">
      <c r="A2" s="5" t="s">
        <v>262</v>
      </c>
      <c r="B2" s="7" t="s">
        <v>263</v>
      </c>
      <c r="C2" s="6"/>
    </row>
    <row r="3" spans="1:3" ht="230.4" x14ac:dyDescent="0.3">
      <c r="A3" s="5" t="s">
        <v>264</v>
      </c>
      <c r="B3" s="7" t="s">
        <v>265</v>
      </c>
      <c r="C3" s="6"/>
    </row>
    <row r="4" spans="1:3" ht="288" x14ac:dyDescent="0.3">
      <c r="A4" s="5" t="s">
        <v>266</v>
      </c>
      <c r="B4" s="7" t="s">
        <v>267</v>
      </c>
      <c r="C4"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workbookViewId="0"/>
  </sheetViews>
  <sheetFormatPr defaultColWidth="11.5546875" defaultRowHeight="14.4" x14ac:dyDescent="0.3"/>
  <sheetData>
    <row r="1" spans="1:2" x14ac:dyDescent="0.3">
      <c r="A1" t="s">
        <v>0</v>
      </c>
      <c r="B1" t="s">
        <v>1</v>
      </c>
    </row>
    <row r="2" spans="1:2" x14ac:dyDescent="0.3">
      <c r="A2" t="s">
        <v>2</v>
      </c>
      <c r="B2">
        <v>13.46</v>
      </c>
    </row>
    <row r="3" spans="1:2" x14ac:dyDescent="0.3">
      <c r="A3" t="s">
        <v>3</v>
      </c>
      <c r="B3">
        <v>8.5</v>
      </c>
    </row>
    <row r="4" spans="1:2" x14ac:dyDescent="0.3">
      <c r="A4" t="s">
        <v>4</v>
      </c>
      <c r="B4">
        <v>9.02</v>
      </c>
    </row>
    <row r="5" spans="1:2" x14ac:dyDescent="0.3">
      <c r="A5" t="s">
        <v>5</v>
      </c>
      <c r="B5">
        <v>5.97</v>
      </c>
    </row>
    <row r="6" spans="1:2" x14ac:dyDescent="0.3">
      <c r="A6" t="s">
        <v>6</v>
      </c>
      <c r="B6">
        <v>10.88</v>
      </c>
    </row>
    <row r="7" spans="1:2" x14ac:dyDescent="0.3">
      <c r="A7" t="s">
        <v>3</v>
      </c>
      <c r="B7">
        <v>13.51</v>
      </c>
    </row>
    <row r="8" spans="1:2" x14ac:dyDescent="0.3">
      <c r="A8" t="s">
        <v>7</v>
      </c>
      <c r="B8">
        <v>8.8000000000000007</v>
      </c>
    </row>
    <row r="9" spans="1:2" x14ac:dyDescent="0.3">
      <c r="A9" t="s">
        <v>8</v>
      </c>
      <c r="B9">
        <v>6.63</v>
      </c>
    </row>
    <row r="10" spans="1:2" x14ac:dyDescent="0.3">
      <c r="A10" t="s">
        <v>9</v>
      </c>
      <c r="B10">
        <v>12.02</v>
      </c>
    </row>
    <row r="11" spans="1:2" x14ac:dyDescent="0.3">
      <c r="A11" t="s">
        <v>10</v>
      </c>
      <c r="B11">
        <v>11.83</v>
      </c>
    </row>
    <row r="12" spans="1:2" x14ac:dyDescent="0.3">
      <c r="A12" t="s">
        <v>11</v>
      </c>
      <c r="B12">
        <v>6.6</v>
      </c>
    </row>
    <row r="13" spans="1:2" x14ac:dyDescent="0.3">
      <c r="A13" t="s">
        <v>12</v>
      </c>
      <c r="B13">
        <v>11.37</v>
      </c>
    </row>
    <row r="14" spans="1:2" x14ac:dyDescent="0.3">
      <c r="A14" t="s">
        <v>13</v>
      </c>
      <c r="B14">
        <v>9.4499999999999993</v>
      </c>
    </row>
    <row r="15" spans="1:2" x14ac:dyDescent="0.3">
      <c r="A15" t="s">
        <v>14</v>
      </c>
      <c r="B15">
        <v>8.09</v>
      </c>
    </row>
    <row r="16" spans="1:2" x14ac:dyDescent="0.3">
      <c r="A16" t="s">
        <v>15</v>
      </c>
      <c r="B16">
        <v>6.02</v>
      </c>
    </row>
    <row r="17" spans="1:2" x14ac:dyDescent="0.3">
      <c r="A17" t="s">
        <v>16</v>
      </c>
      <c r="B17">
        <v>4.95</v>
      </c>
    </row>
    <row r="18" spans="1:2" x14ac:dyDescent="0.3">
      <c r="A18" t="s">
        <v>17</v>
      </c>
      <c r="B18">
        <v>7.51</v>
      </c>
    </row>
    <row r="19" spans="1:2" x14ac:dyDescent="0.3">
      <c r="A19" t="s">
        <v>18</v>
      </c>
      <c r="B19">
        <v>6.49</v>
      </c>
    </row>
    <row r="20" spans="1:2" x14ac:dyDescent="0.3">
      <c r="A20" t="s">
        <v>19</v>
      </c>
      <c r="B20">
        <v>8.4600000000000009</v>
      </c>
    </row>
    <row r="21" spans="1:2" x14ac:dyDescent="0.3">
      <c r="A21" t="s">
        <v>20</v>
      </c>
      <c r="B21">
        <v>10.61</v>
      </c>
    </row>
    <row r="22" spans="1:2" x14ac:dyDescent="0.3">
      <c r="A22" t="s">
        <v>21</v>
      </c>
      <c r="B22">
        <v>9.4600000000000009</v>
      </c>
    </row>
    <row r="23" spans="1:2" x14ac:dyDescent="0.3">
      <c r="A23" t="s">
        <v>22</v>
      </c>
      <c r="B23">
        <v>10.89</v>
      </c>
    </row>
    <row r="24" spans="1:2" x14ac:dyDescent="0.3">
      <c r="A24" t="s">
        <v>23</v>
      </c>
      <c r="B24">
        <v>9.19</v>
      </c>
    </row>
    <row r="25" spans="1:2" x14ac:dyDescent="0.3">
      <c r="A25" t="s">
        <v>24</v>
      </c>
      <c r="B25">
        <v>9.5</v>
      </c>
    </row>
    <row r="26" spans="1:2" x14ac:dyDescent="0.3">
      <c r="A26" t="s">
        <v>25</v>
      </c>
      <c r="B26">
        <v>12.24</v>
      </c>
    </row>
    <row r="27" spans="1:2" x14ac:dyDescent="0.3">
      <c r="A27" t="s">
        <v>26</v>
      </c>
      <c r="B27">
        <v>10.9</v>
      </c>
    </row>
    <row r="28" spans="1:2" x14ac:dyDescent="0.3">
      <c r="A28" t="s">
        <v>27</v>
      </c>
      <c r="B28">
        <v>8.1</v>
      </c>
    </row>
    <row r="29" spans="1:2" x14ac:dyDescent="0.3">
      <c r="A29" t="s">
        <v>28</v>
      </c>
      <c r="B29">
        <v>9.0500000000000007</v>
      </c>
    </row>
    <row r="30" spans="1:2" x14ac:dyDescent="0.3">
      <c r="A30" t="s">
        <v>29</v>
      </c>
      <c r="B30">
        <v>14.3</v>
      </c>
    </row>
    <row r="31" spans="1:2" x14ac:dyDescent="0.3">
      <c r="A31" t="s">
        <v>30</v>
      </c>
      <c r="B31">
        <v>7.21</v>
      </c>
    </row>
    <row r="32" spans="1:2" x14ac:dyDescent="0.3">
      <c r="A32" t="s">
        <v>31</v>
      </c>
      <c r="B32">
        <v>11.77</v>
      </c>
    </row>
    <row r="33" spans="1:2" x14ac:dyDescent="0.3">
      <c r="A33" t="s">
        <v>32</v>
      </c>
      <c r="B33">
        <v>11.59</v>
      </c>
    </row>
    <row r="34" spans="1:2" x14ac:dyDescent="0.3">
      <c r="A34" t="s">
        <v>33</v>
      </c>
      <c r="B34">
        <v>10.71</v>
      </c>
    </row>
    <row r="35" spans="1:2" x14ac:dyDescent="0.3">
      <c r="A35" t="s">
        <v>34</v>
      </c>
      <c r="B35">
        <v>12.72</v>
      </c>
    </row>
    <row r="36" spans="1:2" x14ac:dyDescent="0.3">
      <c r="A36" t="s">
        <v>35</v>
      </c>
      <c r="B36">
        <v>10.06</v>
      </c>
    </row>
    <row r="37" spans="1:2" x14ac:dyDescent="0.3">
      <c r="A37" t="s">
        <v>36</v>
      </c>
      <c r="B37">
        <v>12.82</v>
      </c>
    </row>
    <row r="38" spans="1:2" x14ac:dyDescent="0.3">
      <c r="A38" t="s">
        <v>37</v>
      </c>
      <c r="B38">
        <v>8.9</v>
      </c>
    </row>
    <row r="39" spans="1:2" x14ac:dyDescent="0.3">
      <c r="A39" t="s">
        <v>38</v>
      </c>
      <c r="B39">
        <v>15.67</v>
      </c>
    </row>
    <row r="40" spans="1:2" x14ac:dyDescent="0.3">
      <c r="A40" t="s">
        <v>39</v>
      </c>
      <c r="B40">
        <v>11.94</v>
      </c>
    </row>
    <row r="41" spans="1:2" x14ac:dyDescent="0.3">
      <c r="A41" t="s">
        <v>40</v>
      </c>
      <c r="B41">
        <v>13.79</v>
      </c>
    </row>
    <row r="42" spans="1:2" x14ac:dyDescent="0.3">
      <c r="A42" t="s">
        <v>41</v>
      </c>
      <c r="B42">
        <v>13.68</v>
      </c>
    </row>
    <row r="43" spans="1:2" x14ac:dyDescent="0.3">
      <c r="A43" t="s">
        <v>42</v>
      </c>
      <c r="B43">
        <v>11.43</v>
      </c>
    </row>
    <row r="44" spans="1:2" x14ac:dyDescent="0.3">
      <c r="A44" t="s">
        <v>43</v>
      </c>
      <c r="B44">
        <v>6.16</v>
      </c>
    </row>
    <row r="45" spans="1:2" x14ac:dyDescent="0.3">
      <c r="A45" t="s">
        <v>44</v>
      </c>
      <c r="B45">
        <v>12.59</v>
      </c>
    </row>
    <row r="46" spans="1:2" x14ac:dyDescent="0.3">
      <c r="A46" t="s">
        <v>45</v>
      </c>
      <c r="B46">
        <v>12.25</v>
      </c>
    </row>
    <row r="47" spans="1:2" x14ac:dyDescent="0.3">
      <c r="A47" t="s">
        <v>46</v>
      </c>
      <c r="B47">
        <v>10.82</v>
      </c>
    </row>
    <row r="48" spans="1:2" x14ac:dyDescent="0.3">
      <c r="A48" t="s">
        <v>47</v>
      </c>
      <c r="B48">
        <v>12.37</v>
      </c>
    </row>
    <row r="49" spans="1:2" x14ac:dyDescent="0.3">
      <c r="A49" t="s">
        <v>48</v>
      </c>
      <c r="B49">
        <v>10.33</v>
      </c>
    </row>
    <row r="50" spans="1:2" x14ac:dyDescent="0.3">
      <c r="A50" t="s">
        <v>49</v>
      </c>
      <c r="B50">
        <v>11.89</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election activeCell="D12" sqref="D12"/>
    </sheetView>
  </sheetViews>
  <sheetFormatPr defaultColWidth="11.5546875" defaultRowHeight="14.4" x14ac:dyDescent="0.3"/>
  <sheetData>
    <row r="1" spans="1:4" x14ac:dyDescent="0.3">
      <c r="A1" t="s">
        <v>169</v>
      </c>
      <c r="B1" t="s">
        <v>170</v>
      </c>
      <c r="C1" t="s">
        <v>171</v>
      </c>
      <c r="D1" t="s">
        <v>172</v>
      </c>
    </row>
    <row r="2" spans="1:4" x14ac:dyDescent="0.3">
      <c r="A2">
        <v>1</v>
      </c>
      <c r="B2" t="s">
        <v>173</v>
      </c>
      <c r="C2" t="s">
        <v>174</v>
      </c>
      <c r="D2" t="s">
        <v>187</v>
      </c>
    </row>
    <row r="3" spans="1:4" x14ac:dyDescent="0.3">
      <c r="A3">
        <v>2</v>
      </c>
      <c r="B3" t="s">
        <v>175</v>
      </c>
      <c r="C3" t="s">
        <v>174</v>
      </c>
      <c r="D3" t="s">
        <v>188</v>
      </c>
    </row>
    <row r="4" spans="1:4" x14ac:dyDescent="0.3">
      <c r="A4">
        <v>3</v>
      </c>
      <c r="B4" t="s">
        <v>176</v>
      </c>
      <c r="C4" t="s">
        <v>174</v>
      </c>
      <c r="D4" t="s">
        <v>189</v>
      </c>
    </row>
    <row r="5" spans="1:4" x14ac:dyDescent="0.3">
      <c r="A5">
        <v>4</v>
      </c>
      <c r="B5" t="s">
        <v>177</v>
      </c>
      <c r="C5" t="s">
        <v>174</v>
      </c>
      <c r="D5" t="s">
        <v>190</v>
      </c>
    </row>
    <row r="6" spans="1:4" x14ac:dyDescent="0.3">
      <c r="A6">
        <v>5</v>
      </c>
      <c r="B6" t="s">
        <v>178</v>
      </c>
      <c r="C6" t="s">
        <v>174</v>
      </c>
      <c r="D6" t="s">
        <v>191</v>
      </c>
    </row>
    <row r="7" spans="1:4" x14ac:dyDescent="0.3">
      <c r="A7">
        <v>6</v>
      </c>
      <c r="B7" t="s">
        <v>179</v>
      </c>
      <c r="C7" t="s">
        <v>180</v>
      </c>
      <c r="D7">
        <f>AVERAGE(tzdata[Nitrate_mgL])</f>
        <v>10.255102040816327</v>
      </c>
    </row>
    <row r="8" spans="1:4" x14ac:dyDescent="0.3">
      <c r="A8">
        <v>7</v>
      </c>
      <c r="B8" t="s">
        <v>181</v>
      </c>
      <c r="C8" t="s">
        <v>182</v>
      </c>
      <c r="D8">
        <f>COUNT(tzdata[Nitrate_mgL])</f>
        <v>49</v>
      </c>
    </row>
    <row r="9" spans="1:4" x14ac:dyDescent="0.3">
      <c r="A9">
        <v>8</v>
      </c>
      <c r="B9" t="s">
        <v>183</v>
      </c>
      <c r="C9" t="s">
        <v>184</v>
      </c>
      <c r="D9">
        <f>(AVERAGE(tzdata[Nitrate_mgL])-10)/(2.5/SQRT(COUNT(tzdata[Nitrate_mgL])))</f>
        <v>0.71428571428571597</v>
      </c>
    </row>
    <row r="10" spans="1:4" x14ac:dyDescent="0.3">
      <c r="A10">
        <v>9</v>
      </c>
      <c r="B10" t="s">
        <v>185</v>
      </c>
      <c r="C10" s="1" t="s">
        <v>229</v>
      </c>
      <c r="D10">
        <f>2*(1-_xlfn.NORM.S.DIST(ABS((AVERAGE(tzdata[Nitrate_mgL])-10)/(2.5/SQRT(COUNT(tzdata[Nitrate_mgL])))),TRUE))</f>
        <v>0.47505052405395198</v>
      </c>
    </row>
    <row r="11" spans="1:4" x14ac:dyDescent="0.3">
      <c r="A11">
        <v>10</v>
      </c>
      <c r="B11" t="s">
        <v>186</v>
      </c>
      <c r="C11" t="s">
        <v>192</v>
      </c>
      <c r="D11" t="str">
        <f>IF(QA_Data1!D10&lt;0.05,"Reject null","Cannot reject null")</f>
        <v>Cannot reject null</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heetViews>
  <sheetFormatPr defaultColWidth="11.5546875" defaultRowHeight="14.4" x14ac:dyDescent="0.3"/>
  <sheetData>
    <row r="1" spans="1:3" x14ac:dyDescent="0.3">
      <c r="A1" t="s">
        <v>50</v>
      </c>
      <c r="B1" t="s">
        <v>51</v>
      </c>
      <c r="C1" t="s">
        <v>52</v>
      </c>
    </row>
    <row r="2" spans="1:3" x14ac:dyDescent="0.3">
      <c r="A2" t="s">
        <v>53</v>
      </c>
      <c r="B2">
        <v>156.80000000000001</v>
      </c>
      <c r="C2">
        <v>138.69999999999999</v>
      </c>
    </row>
    <row r="3" spans="1:3" x14ac:dyDescent="0.3">
      <c r="A3" t="s">
        <v>54</v>
      </c>
      <c r="B3">
        <v>151.4</v>
      </c>
      <c r="C3">
        <v>123.6</v>
      </c>
    </row>
    <row r="4" spans="1:3" x14ac:dyDescent="0.3">
      <c r="A4" t="s">
        <v>55</v>
      </c>
      <c r="B4">
        <v>296.39999999999998</v>
      </c>
      <c r="C4">
        <v>273.8</v>
      </c>
    </row>
    <row r="5" spans="1:3" x14ac:dyDescent="0.3">
      <c r="A5" t="s">
        <v>56</v>
      </c>
      <c r="B5">
        <v>182</v>
      </c>
      <c r="C5">
        <v>156.80000000000001</v>
      </c>
    </row>
    <row r="6" spans="1:3" x14ac:dyDescent="0.3">
      <c r="A6" t="s">
        <v>57</v>
      </c>
      <c r="B6">
        <v>245.9</v>
      </c>
      <c r="C6">
        <v>236.9</v>
      </c>
    </row>
    <row r="7" spans="1:3" x14ac:dyDescent="0.3">
      <c r="A7" t="s">
        <v>58</v>
      </c>
      <c r="B7">
        <v>223.6</v>
      </c>
      <c r="C7">
        <v>214.3</v>
      </c>
    </row>
    <row r="8" spans="1:3" x14ac:dyDescent="0.3">
      <c r="A8" t="s">
        <v>59</v>
      </c>
      <c r="B8">
        <v>235</v>
      </c>
      <c r="C8">
        <v>212.5</v>
      </c>
    </row>
    <row r="9" spans="1:3" x14ac:dyDescent="0.3">
      <c r="A9" t="s">
        <v>60</v>
      </c>
      <c r="B9">
        <v>168.1</v>
      </c>
      <c r="C9">
        <v>151.5</v>
      </c>
    </row>
    <row r="10" spans="1:3" x14ac:dyDescent="0.3">
      <c r="A10" t="s">
        <v>61</v>
      </c>
      <c r="B10">
        <v>157</v>
      </c>
      <c r="C10">
        <v>135.19999999999999</v>
      </c>
    </row>
    <row r="11" spans="1:3" x14ac:dyDescent="0.3">
      <c r="A11" t="s">
        <v>62</v>
      </c>
      <c r="B11">
        <v>256.7</v>
      </c>
      <c r="C11">
        <v>236</v>
      </c>
    </row>
    <row r="12" spans="1:3" x14ac:dyDescent="0.3">
      <c r="A12" t="s">
        <v>63</v>
      </c>
      <c r="B12">
        <v>251.2</v>
      </c>
      <c r="C12">
        <v>245.3</v>
      </c>
    </row>
    <row r="13" spans="1:3" x14ac:dyDescent="0.3">
      <c r="A13" t="s">
        <v>64</v>
      </c>
      <c r="B13">
        <v>172.9</v>
      </c>
      <c r="C13">
        <v>142.80000000000001</v>
      </c>
    </row>
    <row r="14" spans="1:3" x14ac:dyDescent="0.3">
      <c r="A14" t="s">
        <v>65</v>
      </c>
      <c r="B14">
        <v>324.3</v>
      </c>
      <c r="C14">
        <v>306.5</v>
      </c>
    </row>
    <row r="15" spans="1:3" x14ac:dyDescent="0.3">
      <c r="A15" t="s">
        <v>66</v>
      </c>
      <c r="B15">
        <v>217.9</v>
      </c>
      <c r="C15">
        <v>192.6</v>
      </c>
    </row>
    <row r="16" spans="1:3" x14ac:dyDescent="0.3">
      <c r="A16" t="s">
        <v>67</v>
      </c>
      <c r="B16">
        <v>381.38547016702103</v>
      </c>
      <c r="C16">
        <v>250.4</v>
      </c>
    </row>
    <row r="17" spans="1:3" x14ac:dyDescent="0.3">
      <c r="A17" t="s">
        <v>68</v>
      </c>
      <c r="B17">
        <v>288.89999999999998</v>
      </c>
      <c r="C17">
        <v>262.7</v>
      </c>
    </row>
    <row r="18" spans="1:3" x14ac:dyDescent="0.3">
      <c r="A18" t="s">
        <v>69</v>
      </c>
      <c r="B18">
        <v>118.9</v>
      </c>
      <c r="C18">
        <v>90.9</v>
      </c>
    </row>
    <row r="19" spans="1:3" x14ac:dyDescent="0.3">
      <c r="A19" t="s">
        <v>70</v>
      </c>
      <c r="B19">
        <v>274.89999999999998</v>
      </c>
      <c r="C19">
        <v>248.8</v>
      </c>
    </row>
    <row r="20" spans="1:3" x14ac:dyDescent="0.3">
      <c r="A20" t="s">
        <v>71</v>
      </c>
      <c r="B20">
        <v>184.6</v>
      </c>
      <c r="C20">
        <v>186.2</v>
      </c>
    </row>
    <row r="21" spans="1:3" x14ac:dyDescent="0.3">
      <c r="A21" t="s">
        <v>72</v>
      </c>
      <c r="B21">
        <v>174.8</v>
      </c>
      <c r="C21">
        <v>171.2</v>
      </c>
    </row>
    <row r="22" spans="1:3" x14ac:dyDescent="0.3">
      <c r="A22" t="s">
        <v>73</v>
      </c>
      <c r="B22">
        <v>140.19999999999999</v>
      </c>
      <c r="C22">
        <v>127.2</v>
      </c>
    </row>
    <row r="23" spans="1:3" x14ac:dyDescent="0.3">
      <c r="A23" t="s">
        <v>74</v>
      </c>
      <c r="B23">
        <v>148.6</v>
      </c>
      <c r="C23">
        <v>122.6</v>
      </c>
    </row>
    <row r="24" spans="1:3" x14ac:dyDescent="0.3">
      <c r="A24" t="s">
        <v>75</v>
      </c>
      <c r="B24">
        <v>189</v>
      </c>
      <c r="C24">
        <v>176.3</v>
      </c>
    </row>
    <row r="25" spans="1:3" x14ac:dyDescent="0.3">
      <c r="A25" t="s">
        <v>76</v>
      </c>
      <c r="B25">
        <v>258</v>
      </c>
      <c r="C25">
        <v>238.8</v>
      </c>
    </row>
    <row r="26" spans="1:3" x14ac:dyDescent="0.3">
      <c r="A26" t="s">
        <v>77</v>
      </c>
      <c r="B26">
        <v>198.3</v>
      </c>
      <c r="C26">
        <v>169.9</v>
      </c>
    </row>
    <row r="27" spans="1:3" x14ac:dyDescent="0.3">
      <c r="A27" t="s">
        <v>78</v>
      </c>
      <c r="B27">
        <v>123.4</v>
      </c>
      <c r="C27">
        <v>88.1</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D2" sqref="D2:D11"/>
    </sheetView>
  </sheetViews>
  <sheetFormatPr defaultColWidth="11.5546875" defaultRowHeight="14.4" x14ac:dyDescent="0.3"/>
  <cols>
    <col min="2" max="2" width="57.44140625" customWidth="1"/>
    <col min="3" max="3" width="21.5546875" customWidth="1"/>
    <col min="4" max="4" width="12" bestFit="1" customWidth="1"/>
  </cols>
  <sheetData>
    <row r="1" spans="1:4" x14ac:dyDescent="0.3">
      <c r="A1" t="s">
        <v>169</v>
      </c>
      <c r="B1" t="s">
        <v>170</v>
      </c>
      <c r="C1" t="s">
        <v>171</v>
      </c>
      <c r="D1" t="s">
        <v>172</v>
      </c>
    </row>
    <row r="2" spans="1:4" x14ac:dyDescent="0.3">
      <c r="A2">
        <v>1</v>
      </c>
      <c r="B2" t="s">
        <v>193</v>
      </c>
      <c r="C2" t="s">
        <v>174</v>
      </c>
      <c r="D2" t="s">
        <v>203</v>
      </c>
    </row>
    <row r="3" spans="1:4" x14ac:dyDescent="0.3">
      <c r="A3">
        <v>2</v>
      </c>
      <c r="B3" t="s">
        <v>194</v>
      </c>
      <c r="C3" t="s">
        <v>174</v>
      </c>
      <c r="D3" t="s">
        <v>204</v>
      </c>
    </row>
    <row r="4" spans="1:4" x14ac:dyDescent="0.3">
      <c r="A4">
        <v>3</v>
      </c>
      <c r="B4" t="s">
        <v>176</v>
      </c>
      <c r="C4" t="s">
        <v>174</v>
      </c>
      <c r="D4" t="s">
        <v>205</v>
      </c>
    </row>
    <row r="5" spans="1:4" x14ac:dyDescent="0.3">
      <c r="A5">
        <v>4</v>
      </c>
      <c r="B5" t="s">
        <v>195</v>
      </c>
      <c r="C5" t="s">
        <v>174</v>
      </c>
      <c r="D5" t="s">
        <v>206</v>
      </c>
    </row>
    <row r="6" spans="1:4" x14ac:dyDescent="0.3">
      <c r="A6">
        <v>5</v>
      </c>
      <c r="B6" t="s">
        <v>196</v>
      </c>
      <c r="C6" t="s">
        <v>174</v>
      </c>
      <c r="D6" t="s">
        <v>207</v>
      </c>
    </row>
    <row r="7" spans="1:4" x14ac:dyDescent="0.3">
      <c r="A7">
        <v>6</v>
      </c>
      <c r="B7" t="s">
        <v>197</v>
      </c>
      <c r="C7" t="s">
        <v>198</v>
      </c>
    </row>
    <row r="8" spans="1:4" x14ac:dyDescent="0.3">
      <c r="A8">
        <v>7</v>
      </c>
      <c r="B8" t="s">
        <v>199</v>
      </c>
      <c r="C8" t="s">
        <v>200</v>
      </c>
      <c r="D8" cm="1">
        <f t="array" ref="D8">(AVERAGE(tpairdata[After_kWhDay]-tpairdata[Before_kWhDay]))/(_xlfn.SINGLE(_xlfn.STDEV.S(tpairdata[After_kWhDay]-tpairdata[Before_kWhDay]))/SQRT(COUNT(tpairdata[After_kWhDay]-tpairdata[Before_kWhDay])))</f>
        <v>-5.154769889597894</v>
      </c>
    </row>
    <row r="9" spans="1:4" x14ac:dyDescent="0.3">
      <c r="A9">
        <v>8</v>
      </c>
      <c r="B9" t="s">
        <v>185</v>
      </c>
      <c r="C9" t="s">
        <v>201</v>
      </c>
      <c r="D9" cm="1">
        <f t="array" ref="D9">_xlfn.T.DIST(ABS((AVERAGE(tpairdata[After_kWhDay]-tpairdata[Before_kWhDay]))/(_xlfn.STDEV.S(tpairdata[After_kWhDay]-tpairdata[Before_kWhDay])/SQRT(COUNT(tpairdata[After_kWhDay]-tpairdata[Before_kWhDay])))), COUNT(tpairdata[After_kWhDay]-tpairdata[Before_kWhDay])-1,)</f>
        <v>3.2243691536910651E-5</v>
      </c>
    </row>
    <row r="10" spans="1:4" x14ac:dyDescent="0.3">
      <c r="A10">
        <v>9</v>
      </c>
      <c r="B10" t="s">
        <v>202</v>
      </c>
      <c r="C10" t="s">
        <v>174</v>
      </c>
      <c r="D10" t="s">
        <v>208</v>
      </c>
    </row>
    <row r="11" spans="1:4" x14ac:dyDescent="0.3">
      <c r="A11">
        <v>10</v>
      </c>
      <c r="B11" t="s">
        <v>186</v>
      </c>
      <c r="C11" t="s">
        <v>209</v>
      </c>
      <c r="D11" t="str">
        <f>IF(D9&lt;0.05,"Reject null","Cannot reject null")</f>
        <v>Reject null</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10"/>
  <sheetViews>
    <sheetView workbookViewId="0">
      <selection activeCell="J22" sqref="J22"/>
    </sheetView>
  </sheetViews>
  <sheetFormatPr defaultColWidth="11.5546875" defaultRowHeight="14.4" x14ac:dyDescent="0.3"/>
  <cols>
    <col min="7" max="7" width="17.44140625" bestFit="1" customWidth="1"/>
  </cols>
  <sheetData>
    <row r="1" spans="1:12" x14ac:dyDescent="0.3">
      <c r="A1" t="s">
        <v>79</v>
      </c>
      <c r="B1" t="s">
        <v>80</v>
      </c>
      <c r="C1" t="s">
        <v>83</v>
      </c>
      <c r="D1" t="s">
        <v>88</v>
      </c>
      <c r="E1" t="s">
        <v>81</v>
      </c>
    </row>
    <row r="2" spans="1:12" x14ac:dyDescent="0.3">
      <c r="A2" t="s">
        <v>82</v>
      </c>
      <c r="B2" t="s">
        <v>83</v>
      </c>
      <c r="C2">
        <f>IF(tlmdata[[#This Row],[Management_Regime]]=tlmdata[[#Headers],[Routine mow]],1,0)</f>
        <v>1</v>
      </c>
      <c r="D2">
        <f>IF(tlmdata[[#This Row],[Management_Regime]]=tlmdata[[#Headers],[Biodiverse planting]],1,0)</f>
        <v>0</v>
      </c>
      <c r="E2">
        <v>34.1</v>
      </c>
      <c r="G2" t="s">
        <v>230</v>
      </c>
    </row>
    <row r="3" spans="1:12" ht="15" thickBot="1" x14ac:dyDescent="0.35">
      <c r="A3" t="s">
        <v>84</v>
      </c>
      <c r="B3" t="s">
        <v>85</v>
      </c>
      <c r="C3">
        <f>IF(tlmdata[[#This Row],[Management_Regime]]=tlmdata[[#Headers],[Routine mow]],1,0)</f>
        <v>0</v>
      </c>
      <c r="D3">
        <f>IF(tlmdata[[#This Row],[Management_Regime]]=tlmdata[[#Headers],[Biodiverse planting]],1,0)</f>
        <v>0</v>
      </c>
      <c r="E3">
        <v>41.7</v>
      </c>
    </row>
    <row r="4" spans="1:12" x14ac:dyDescent="0.3">
      <c r="A4" t="s">
        <v>86</v>
      </c>
      <c r="B4" t="s">
        <v>83</v>
      </c>
      <c r="C4">
        <f>IF(tlmdata[[#This Row],[Management_Regime]]=tlmdata[[#Headers],[Routine mow]],1,0)</f>
        <v>1</v>
      </c>
      <c r="D4">
        <f>IF(tlmdata[[#This Row],[Management_Regime]]=tlmdata[[#Headers],[Biodiverse planting]],1,0)</f>
        <v>0</v>
      </c>
      <c r="E4">
        <v>59.444946973491497</v>
      </c>
      <c r="G4" s="4" t="s">
        <v>231</v>
      </c>
      <c r="H4" s="4"/>
    </row>
    <row r="5" spans="1:12" x14ac:dyDescent="0.3">
      <c r="A5" t="s">
        <v>87</v>
      </c>
      <c r="B5" t="s">
        <v>88</v>
      </c>
      <c r="C5">
        <f>IF(tlmdata[[#This Row],[Management_Regime]]=tlmdata[[#Headers],[Routine mow]],1,0)</f>
        <v>0</v>
      </c>
      <c r="D5">
        <f>IF(tlmdata[[#This Row],[Management_Regime]]=tlmdata[[#Headers],[Biodiverse planting]],1,0)</f>
        <v>1</v>
      </c>
      <c r="E5">
        <v>49.2</v>
      </c>
      <c r="G5" t="s">
        <v>232</v>
      </c>
      <c r="H5">
        <v>0.4360633459927245</v>
      </c>
    </row>
    <row r="6" spans="1:12" x14ac:dyDescent="0.3">
      <c r="A6" t="s">
        <v>89</v>
      </c>
      <c r="B6" t="s">
        <v>83</v>
      </c>
      <c r="C6">
        <f>IF(tlmdata[[#This Row],[Management_Regime]]=tlmdata[[#Headers],[Routine mow]],1,0)</f>
        <v>1</v>
      </c>
      <c r="D6">
        <f>IF(tlmdata[[#This Row],[Management_Regime]]=tlmdata[[#Headers],[Biodiverse planting]],1,0)</f>
        <v>0</v>
      </c>
      <c r="E6">
        <v>32.4</v>
      </c>
      <c r="G6" t="s">
        <v>233</v>
      </c>
      <c r="H6">
        <v>0.19015124171837058</v>
      </c>
    </row>
    <row r="7" spans="1:12" x14ac:dyDescent="0.3">
      <c r="A7" t="s">
        <v>90</v>
      </c>
      <c r="B7" t="s">
        <v>85</v>
      </c>
      <c r="C7">
        <f>IF(tlmdata[[#This Row],[Management_Regime]]=tlmdata[[#Headers],[Routine mow]],1,0)</f>
        <v>0</v>
      </c>
      <c r="D7">
        <f>IF(tlmdata[[#This Row],[Management_Regime]]=tlmdata[[#Headers],[Biodiverse planting]],1,0)</f>
        <v>0</v>
      </c>
      <c r="E7">
        <v>42</v>
      </c>
      <c r="G7" t="s">
        <v>234</v>
      </c>
      <c r="H7">
        <v>0.17015497608178701</v>
      </c>
    </row>
    <row r="8" spans="1:12" x14ac:dyDescent="0.3">
      <c r="A8" t="s">
        <v>91</v>
      </c>
      <c r="B8" t="s">
        <v>88</v>
      </c>
      <c r="C8">
        <f>IF(tlmdata[[#This Row],[Management_Regime]]=tlmdata[[#Headers],[Routine mow]],1,0)</f>
        <v>0</v>
      </c>
      <c r="D8">
        <f>IF(tlmdata[[#This Row],[Management_Regime]]=tlmdata[[#Headers],[Biodiverse planting]],1,0)</f>
        <v>1</v>
      </c>
      <c r="E8">
        <v>47.3</v>
      </c>
      <c r="G8" t="s">
        <v>235</v>
      </c>
      <c r="H8">
        <v>6.6158538372009978</v>
      </c>
    </row>
    <row r="9" spans="1:12" ht="15" thickBot="1" x14ac:dyDescent="0.35">
      <c r="A9" t="s">
        <v>92</v>
      </c>
      <c r="B9" t="s">
        <v>88</v>
      </c>
      <c r="C9">
        <f>IF(tlmdata[[#This Row],[Management_Regime]]=tlmdata[[#Headers],[Routine mow]],1,0)</f>
        <v>0</v>
      </c>
      <c r="D9">
        <f>IF(tlmdata[[#This Row],[Management_Regime]]=tlmdata[[#Headers],[Biodiverse planting]],1,0)</f>
        <v>1</v>
      </c>
      <c r="E9">
        <v>44.1</v>
      </c>
      <c r="G9" s="2" t="s">
        <v>236</v>
      </c>
      <c r="H9" s="2">
        <v>84</v>
      </c>
    </row>
    <row r="10" spans="1:12" x14ac:dyDescent="0.3">
      <c r="A10" t="s">
        <v>93</v>
      </c>
      <c r="B10" t="s">
        <v>85</v>
      </c>
      <c r="C10">
        <f>IF(tlmdata[[#This Row],[Management_Regime]]=tlmdata[[#Headers],[Routine mow]],1,0)</f>
        <v>0</v>
      </c>
      <c r="D10">
        <f>IF(tlmdata[[#This Row],[Management_Regime]]=tlmdata[[#Headers],[Biodiverse planting]],1,0)</f>
        <v>0</v>
      </c>
      <c r="E10">
        <v>36</v>
      </c>
    </row>
    <row r="11" spans="1:12" ht="15" thickBot="1" x14ac:dyDescent="0.35">
      <c r="A11" t="s">
        <v>94</v>
      </c>
      <c r="B11" t="s">
        <v>85</v>
      </c>
      <c r="C11">
        <f>IF(tlmdata[[#This Row],[Management_Regime]]=tlmdata[[#Headers],[Routine mow]],1,0)</f>
        <v>0</v>
      </c>
      <c r="D11">
        <f>IF(tlmdata[[#This Row],[Management_Regime]]=tlmdata[[#Headers],[Biodiverse planting]],1,0)</f>
        <v>0</v>
      </c>
      <c r="E11">
        <v>36.799999999999997</v>
      </c>
      <c r="G11" t="s">
        <v>237</v>
      </c>
    </row>
    <row r="12" spans="1:12" x14ac:dyDescent="0.3">
      <c r="A12" t="s">
        <v>95</v>
      </c>
      <c r="B12" t="s">
        <v>88</v>
      </c>
      <c r="C12">
        <f>IF(tlmdata[[#This Row],[Management_Regime]]=tlmdata[[#Headers],[Routine mow]],1,0)</f>
        <v>0</v>
      </c>
      <c r="D12">
        <f>IF(tlmdata[[#This Row],[Management_Regime]]=tlmdata[[#Headers],[Biodiverse planting]],1,0)</f>
        <v>1</v>
      </c>
      <c r="E12">
        <v>52.1</v>
      </c>
      <c r="G12" s="3"/>
      <c r="H12" s="3" t="s">
        <v>242</v>
      </c>
      <c r="I12" s="3" t="s">
        <v>243</v>
      </c>
      <c r="J12" s="3" t="s">
        <v>244</v>
      </c>
      <c r="K12" s="3" t="s">
        <v>245</v>
      </c>
      <c r="L12" s="3" t="s">
        <v>246</v>
      </c>
    </row>
    <row r="13" spans="1:12" x14ac:dyDescent="0.3">
      <c r="A13" t="s">
        <v>96</v>
      </c>
      <c r="B13" t="s">
        <v>88</v>
      </c>
      <c r="C13">
        <f>IF(tlmdata[[#This Row],[Management_Regime]]=tlmdata[[#Headers],[Routine mow]],1,0)</f>
        <v>0</v>
      </c>
      <c r="D13">
        <f>IF(tlmdata[[#This Row],[Management_Regime]]=tlmdata[[#Headers],[Biodiverse planting]],1,0)</f>
        <v>1</v>
      </c>
      <c r="E13">
        <v>44.1</v>
      </c>
      <c r="G13" t="s">
        <v>238</v>
      </c>
      <c r="H13">
        <v>2</v>
      </c>
      <c r="I13">
        <v>832.43832704257011</v>
      </c>
      <c r="J13">
        <v>416.21916352128505</v>
      </c>
      <c r="K13">
        <v>9.5093376520507054</v>
      </c>
      <c r="L13">
        <v>1.9514560996627278E-4</v>
      </c>
    </row>
    <row r="14" spans="1:12" x14ac:dyDescent="0.3">
      <c r="A14" t="s">
        <v>97</v>
      </c>
      <c r="B14" t="s">
        <v>85</v>
      </c>
      <c r="C14">
        <f>IF(tlmdata[[#This Row],[Management_Regime]]=tlmdata[[#Headers],[Routine mow]],1,0)</f>
        <v>0</v>
      </c>
      <c r="D14">
        <f>IF(tlmdata[[#This Row],[Management_Regime]]=tlmdata[[#Headers],[Biodiverse planting]],1,0)</f>
        <v>0</v>
      </c>
      <c r="E14">
        <v>39.299999999999997</v>
      </c>
      <c r="G14" t="s">
        <v>239</v>
      </c>
      <c r="H14">
        <v>81</v>
      </c>
      <c r="I14">
        <v>3545.3312816117809</v>
      </c>
      <c r="J14">
        <v>43.769521995207171</v>
      </c>
    </row>
    <row r="15" spans="1:12" ht="15" thickBot="1" x14ac:dyDescent="0.35">
      <c r="A15" t="s">
        <v>98</v>
      </c>
      <c r="B15" t="s">
        <v>88</v>
      </c>
      <c r="C15">
        <f>IF(tlmdata[[#This Row],[Management_Regime]]=tlmdata[[#Headers],[Routine mow]],1,0)</f>
        <v>0</v>
      </c>
      <c r="D15">
        <f>IF(tlmdata[[#This Row],[Management_Regime]]=tlmdata[[#Headers],[Biodiverse planting]],1,0)</f>
        <v>1</v>
      </c>
      <c r="E15">
        <v>40.5</v>
      </c>
      <c r="G15" s="2" t="s">
        <v>240</v>
      </c>
      <c r="H15" s="2">
        <v>83</v>
      </c>
      <c r="I15" s="2">
        <v>4377.769608654351</v>
      </c>
      <c r="J15" s="2"/>
      <c r="K15" s="2"/>
      <c r="L15" s="2"/>
    </row>
    <row r="16" spans="1:12" ht="15" thickBot="1" x14ac:dyDescent="0.35">
      <c r="A16" t="s">
        <v>99</v>
      </c>
      <c r="B16" t="s">
        <v>88</v>
      </c>
      <c r="C16">
        <f>IF(tlmdata[[#This Row],[Management_Regime]]=tlmdata[[#Headers],[Routine mow]],1,0)</f>
        <v>0</v>
      </c>
      <c r="D16">
        <f>IF(tlmdata[[#This Row],[Management_Regime]]=tlmdata[[#Headers],[Biodiverse planting]],1,0)</f>
        <v>1</v>
      </c>
      <c r="E16">
        <v>43.5</v>
      </c>
    </row>
    <row r="17" spans="1:15" x14ac:dyDescent="0.3">
      <c r="A17" t="s">
        <v>100</v>
      </c>
      <c r="B17" t="s">
        <v>85</v>
      </c>
      <c r="C17">
        <f>IF(tlmdata[[#This Row],[Management_Regime]]=tlmdata[[#Headers],[Routine mow]],1,0)</f>
        <v>0</v>
      </c>
      <c r="D17">
        <f>IF(tlmdata[[#This Row],[Management_Regime]]=tlmdata[[#Headers],[Biodiverse planting]],1,0)</f>
        <v>0</v>
      </c>
      <c r="E17">
        <v>31.3</v>
      </c>
      <c r="G17" s="3"/>
      <c r="H17" s="3" t="s">
        <v>247</v>
      </c>
      <c r="I17" s="3" t="s">
        <v>235</v>
      </c>
      <c r="J17" s="3" t="s">
        <v>248</v>
      </c>
      <c r="K17" s="3" t="s">
        <v>249</v>
      </c>
      <c r="L17" s="3" t="s">
        <v>250</v>
      </c>
      <c r="M17" s="3" t="s">
        <v>251</v>
      </c>
      <c r="N17" s="3" t="s">
        <v>252</v>
      </c>
      <c r="O17" s="3" t="s">
        <v>253</v>
      </c>
    </row>
    <row r="18" spans="1:15" x14ac:dyDescent="0.3">
      <c r="A18" t="s">
        <v>101</v>
      </c>
      <c r="B18" t="s">
        <v>83</v>
      </c>
      <c r="C18">
        <f>IF(tlmdata[[#This Row],[Management_Regime]]=tlmdata[[#Headers],[Routine mow]],1,0)</f>
        <v>1</v>
      </c>
      <c r="D18">
        <f>IF(tlmdata[[#This Row],[Management_Regime]]=tlmdata[[#Headers],[Biodiverse planting]],1,0)</f>
        <v>0</v>
      </c>
      <c r="E18">
        <v>38.5</v>
      </c>
      <c r="G18" t="s">
        <v>241</v>
      </c>
      <c r="H18">
        <v>40.364516129032246</v>
      </c>
      <c r="I18">
        <v>1.1882424265954827</v>
      </c>
      <c r="J18">
        <v>33.969933429059147</v>
      </c>
      <c r="K18">
        <v>1.1027435411884218E-49</v>
      </c>
      <c r="L18">
        <v>38.000286423883971</v>
      </c>
      <c r="M18">
        <v>42.728745834180522</v>
      </c>
      <c r="N18">
        <v>38.000286423883971</v>
      </c>
      <c r="O18">
        <v>42.728745834180522</v>
      </c>
    </row>
    <row r="19" spans="1:15" x14ac:dyDescent="0.3">
      <c r="A19" t="s">
        <v>102</v>
      </c>
      <c r="B19" t="s">
        <v>88</v>
      </c>
      <c r="C19">
        <f>IF(tlmdata[[#This Row],[Management_Regime]]=tlmdata[[#Headers],[Routine mow]],1,0)</f>
        <v>0</v>
      </c>
      <c r="D19">
        <f>IF(tlmdata[[#This Row],[Management_Regime]]=tlmdata[[#Headers],[Biodiverse planting]],1,0)</f>
        <v>1</v>
      </c>
      <c r="E19">
        <v>39</v>
      </c>
      <c r="G19" t="s">
        <v>83</v>
      </c>
      <c r="H19">
        <v>-5.4096845632492023</v>
      </c>
      <c r="I19">
        <v>1.6943742593855777</v>
      </c>
      <c r="J19">
        <v>-3.1927329710561634</v>
      </c>
      <c r="K19">
        <v>2.0073170965039626E-3</v>
      </c>
      <c r="L19">
        <v>-8.7809578539661075</v>
      </c>
      <c r="M19">
        <v>-2.038411272532298</v>
      </c>
      <c r="N19">
        <v>-8.7809578539661075</v>
      </c>
      <c r="O19">
        <v>-2.038411272532298</v>
      </c>
    </row>
    <row r="20" spans="1:15" ht="15" thickBot="1" x14ac:dyDescent="0.35">
      <c r="A20" t="s">
        <v>103</v>
      </c>
      <c r="B20" t="s">
        <v>88</v>
      </c>
      <c r="C20">
        <f>IF(tlmdata[[#This Row],[Management_Regime]]=tlmdata[[#Headers],[Routine mow]],1,0)</f>
        <v>0</v>
      </c>
      <c r="D20">
        <f>IF(tlmdata[[#This Row],[Management_Regime]]=tlmdata[[#Headers],[Biodiverse planting]],1,0)</f>
        <v>1</v>
      </c>
      <c r="E20">
        <v>51.5</v>
      </c>
      <c r="G20" s="2" t="s">
        <v>88</v>
      </c>
      <c r="H20" s="2">
        <v>2.1485273492286123</v>
      </c>
      <c r="I20" s="2">
        <v>1.8206984263752501</v>
      </c>
      <c r="J20" s="2">
        <v>1.1800566848986751</v>
      </c>
      <c r="K20" s="2">
        <v>0.24143169764751521</v>
      </c>
      <c r="L20" s="2">
        <v>-1.4740914088697292</v>
      </c>
      <c r="M20" s="2">
        <v>5.7711461073269543</v>
      </c>
      <c r="N20" s="2">
        <v>-1.4740914088697292</v>
      </c>
      <c r="O20" s="2">
        <v>5.7711461073269543</v>
      </c>
    </row>
    <row r="21" spans="1:15" x14ac:dyDescent="0.3">
      <c r="A21" t="s">
        <v>104</v>
      </c>
      <c r="B21" t="s">
        <v>88</v>
      </c>
      <c r="C21">
        <f>IF(tlmdata[[#This Row],[Management_Regime]]=tlmdata[[#Headers],[Routine mow]],1,0)</f>
        <v>0</v>
      </c>
      <c r="D21">
        <f>IF(tlmdata[[#This Row],[Management_Regime]]=tlmdata[[#Headers],[Biodiverse planting]],1,0)</f>
        <v>1</v>
      </c>
      <c r="E21">
        <v>50.3</v>
      </c>
    </row>
    <row r="22" spans="1:15" x14ac:dyDescent="0.3">
      <c r="A22" t="s">
        <v>105</v>
      </c>
      <c r="B22" t="s">
        <v>83</v>
      </c>
      <c r="C22">
        <f>IF(tlmdata[[#This Row],[Management_Regime]]=tlmdata[[#Headers],[Routine mow]],1,0)</f>
        <v>1</v>
      </c>
      <c r="D22">
        <f>IF(tlmdata[[#This Row],[Management_Regime]]=tlmdata[[#Headers],[Biodiverse planting]],1,0)</f>
        <v>0</v>
      </c>
      <c r="E22">
        <v>30.8</v>
      </c>
    </row>
    <row r="23" spans="1:15" x14ac:dyDescent="0.3">
      <c r="A23" t="s">
        <v>106</v>
      </c>
      <c r="B23" t="s">
        <v>85</v>
      </c>
      <c r="C23">
        <f>IF(tlmdata[[#This Row],[Management_Regime]]=tlmdata[[#Headers],[Routine mow]],1,0)</f>
        <v>0</v>
      </c>
      <c r="D23">
        <f>IF(tlmdata[[#This Row],[Management_Regime]]=tlmdata[[#Headers],[Biodiverse planting]],1,0)</f>
        <v>0</v>
      </c>
      <c r="E23">
        <v>39.6</v>
      </c>
    </row>
    <row r="24" spans="1:15" x14ac:dyDescent="0.3">
      <c r="A24" t="s">
        <v>107</v>
      </c>
      <c r="B24" t="s">
        <v>88</v>
      </c>
      <c r="C24">
        <f>IF(tlmdata[[#This Row],[Management_Regime]]=tlmdata[[#Headers],[Routine mow]],1,0)</f>
        <v>0</v>
      </c>
      <c r="D24">
        <f>IF(tlmdata[[#This Row],[Management_Regime]]=tlmdata[[#Headers],[Biodiverse planting]],1,0)</f>
        <v>1</v>
      </c>
      <c r="E24">
        <v>44.3</v>
      </c>
      <c r="G24" t="s">
        <v>254</v>
      </c>
      <c r="K24" t="s">
        <v>258</v>
      </c>
    </row>
    <row r="25" spans="1:15" ht="15" thickBot="1" x14ac:dyDescent="0.35">
      <c r="A25" t="s">
        <v>108</v>
      </c>
      <c r="B25" t="s">
        <v>83</v>
      </c>
      <c r="C25">
        <f>IF(tlmdata[[#This Row],[Management_Regime]]=tlmdata[[#Headers],[Routine mow]],1,0)</f>
        <v>1</v>
      </c>
      <c r="D25">
        <f>IF(tlmdata[[#This Row],[Management_Regime]]=tlmdata[[#Headers],[Biodiverse planting]],1,0)</f>
        <v>0</v>
      </c>
      <c r="E25">
        <v>22.4</v>
      </c>
    </row>
    <row r="26" spans="1:15" x14ac:dyDescent="0.3">
      <c r="A26" t="s">
        <v>109</v>
      </c>
      <c r="B26" t="s">
        <v>83</v>
      </c>
      <c r="C26">
        <f>IF(tlmdata[[#This Row],[Management_Regime]]=tlmdata[[#Headers],[Routine mow]],1,0)</f>
        <v>1</v>
      </c>
      <c r="D26">
        <f>IF(tlmdata[[#This Row],[Management_Regime]]=tlmdata[[#Headers],[Biodiverse planting]],1,0)</f>
        <v>0</v>
      </c>
      <c r="E26">
        <v>39.299999999999997</v>
      </c>
      <c r="G26" s="3" t="s">
        <v>255</v>
      </c>
      <c r="H26" s="3" t="s">
        <v>256</v>
      </c>
      <c r="I26" s="3" t="s">
        <v>257</v>
      </c>
      <c r="K26" s="3" t="s">
        <v>259</v>
      </c>
      <c r="L26" s="3" t="s">
        <v>81</v>
      </c>
    </row>
    <row r="27" spans="1:15" x14ac:dyDescent="0.3">
      <c r="A27" t="s">
        <v>110</v>
      </c>
      <c r="B27" t="s">
        <v>83</v>
      </c>
      <c r="C27">
        <f>IF(tlmdata[[#This Row],[Management_Regime]]=tlmdata[[#Headers],[Routine mow]],1,0)</f>
        <v>1</v>
      </c>
      <c r="D27">
        <f>IF(tlmdata[[#This Row],[Management_Regime]]=tlmdata[[#Headers],[Biodiverse planting]],1,0)</f>
        <v>0</v>
      </c>
      <c r="E27">
        <v>38.4</v>
      </c>
      <c r="G27">
        <v>1</v>
      </c>
      <c r="H27">
        <v>34.954831565783046</v>
      </c>
      <c r="I27">
        <v>-0.85483156578304431</v>
      </c>
      <c r="K27">
        <v>0.59523809523809523</v>
      </c>
      <c r="L27">
        <v>18.8</v>
      </c>
    </row>
    <row r="28" spans="1:15" x14ac:dyDescent="0.3">
      <c r="A28" t="s">
        <v>111</v>
      </c>
      <c r="B28" t="s">
        <v>85</v>
      </c>
      <c r="C28">
        <f>IF(tlmdata[[#This Row],[Management_Regime]]=tlmdata[[#Headers],[Routine mow]],1,0)</f>
        <v>0</v>
      </c>
      <c r="D28">
        <f>IF(tlmdata[[#This Row],[Management_Regime]]=tlmdata[[#Headers],[Biodiverse planting]],1,0)</f>
        <v>0</v>
      </c>
      <c r="E28">
        <v>44.6</v>
      </c>
      <c r="G28">
        <v>2</v>
      </c>
      <c r="H28">
        <v>40.364516129032246</v>
      </c>
      <c r="I28">
        <v>1.3354838709677566</v>
      </c>
      <c r="K28">
        <v>1.7857142857142856</v>
      </c>
      <c r="L28">
        <v>22</v>
      </c>
    </row>
    <row r="29" spans="1:15" x14ac:dyDescent="0.3">
      <c r="A29" t="s">
        <v>112</v>
      </c>
      <c r="B29" t="s">
        <v>85</v>
      </c>
      <c r="C29">
        <f>IF(tlmdata[[#This Row],[Management_Regime]]=tlmdata[[#Headers],[Routine mow]],1,0)</f>
        <v>0</v>
      </c>
      <c r="D29">
        <f>IF(tlmdata[[#This Row],[Management_Regime]]=tlmdata[[#Headers],[Biodiverse planting]],1,0)</f>
        <v>0</v>
      </c>
      <c r="E29">
        <v>45.7</v>
      </c>
      <c r="G29">
        <v>3</v>
      </c>
      <c r="H29">
        <v>34.954831565783046</v>
      </c>
      <c r="I29">
        <v>24.490115407708451</v>
      </c>
      <c r="K29">
        <v>2.9761904761904763</v>
      </c>
      <c r="L29">
        <v>22.4</v>
      </c>
    </row>
    <row r="30" spans="1:15" x14ac:dyDescent="0.3">
      <c r="A30" t="s">
        <v>113</v>
      </c>
      <c r="B30" t="s">
        <v>85</v>
      </c>
      <c r="C30">
        <f>IF(tlmdata[[#This Row],[Management_Regime]]=tlmdata[[#Headers],[Routine mow]],1,0)</f>
        <v>0</v>
      </c>
      <c r="D30">
        <f>IF(tlmdata[[#This Row],[Management_Regime]]=tlmdata[[#Headers],[Biodiverse planting]],1,0)</f>
        <v>0</v>
      </c>
      <c r="E30">
        <v>42.3</v>
      </c>
      <c r="G30">
        <v>4</v>
      </c>
      <c r="H30">
        <v>42.513043478260862</v>
      </c>
      <c r="I30">
        <v>6.6869565217391411</v>
      </c>
      <c r="K30">
        <v>4.1666666666666661</v>
      </c>
      <c r="L30">
        <v>27.1</v>
      </c>
    </row>
    <row r="31" spans="1:15" x14ac:dyDescent="0.3">
      <c r="A31" t="s">
        <v>114</v>
      </c>
      <c r="B31" t="s">
        <v>85</v>
      </c>
      <c r="C31">
        <f>IF(tlmdata[[#This Row],[Management_Regime]]=tlmdata[[#Headers],[Routine mow]],1,0)</f>
        <v>0</v>
      </c>
      <c r="D31">
        <f>IF(tlmdata[[#This Row],[Management_Regime]]=tlmdata[[#Headers],[Biodiverse planting]],1,0)</f>
        <v>0</v>
      </c>
      <c r="E31">
        <v>39.1</v>
      </c>
      <c r="G31">
        <v>5</v>
      </c>
      <c r="H31">
        <v>34.954831565783046</v>
      </c>
      <c r="I31">
        <v>-2.5548315657830472</v>
      </c>
      <c r="K31">
        <v>5.3571428571428568</v>
      </c>
      <c r="L31">
        <v>27.5</v>
      </c>
    </row>
    <row r="32" spans="1:15" x14ac:dyDescent="0.3">
      <c r="A32" t="s">
        <v>115</v>
      </c>
      <c r="B32" t="s">
        <v>85</v>
      </c>
      <c r="C32">
        <f>IF(tlmdata[[#This Row],[Management_Regime]]=tlmdata[[#Headers],[Routine mow]],1,0)</f>
        <v>0</v>
      </c>
      <c r="D32">
        <f>IF(tlmdata[[#This Row],[Management_Regime]]=tlmdata[[#Headers],[Biodiverse planting]],1,0)</f>
        <v>0</v>
      </c>
      <c r="E32">
        <v>36</v>
      </c>
      <c r="G32">
        <v>6</v>
      </c>
      <c r="H32">
        <v>40.364516129032246</v>
      </c>
      <c r="I32">
        <v>1.6354838709677537</v>
      </c>
      <c r="K32">
        <v>6.5476190476190474</v>
      </c>
      <c r="L32">
        <v>29.3</v>
      </c>
    </row>
    <row r="33" spans="1:12" x14ac:dyDescent="0.3">
      <c r="A33" t="s">
        <v>116</v>
      </c>
      <c r="B33" t="s">
        <v>83</v>
      </c>
      <c r="C33">
        <f>IF(tlmdata[[#This Row],[Management_Regime]]=tlmdata[[#Headers],[Routine mow]],1,0)</f>
        <v>1</v>
      </c>
      <c r="D33">
        <f>IF(tlmdata[[#This Row],[Management_Regime]]=tlmdata[[#Headers],[Biodiverse planting]],1,0)</f>
        <v>0</v>
      </c>
      <c r="E33">
        <v>33.9</v>
      </c>
      <c r="G33">
        <v>7</v>
      </c>
      <c r="H33">
        <v>42.513043478260862</v>
      </c>
      <c r="I33">
        <v>4.7869565217391354</v>
      </c>
      <c r="K33">
        <v>7.7380952380952372</v>
      </c>
      <c r="L33">
        <v>30.8</v>
      </c>
    </row>
    <row r="34" spans="1:12" x14ac:dyDescent="0.3">
      <c r="A34" t="s">
        <v>117</v>
      </c>
      <c r="B34" t="s">
        <v>83</v>
      </c>
      <c r="C34">
        <f>IF(tlmdata[[#This Row],[Management_Regime]]=tlmdata[[#Headers],[Routine mow]],1,0)</f>
        <v>1</v>
      </c>
      <c r="D34">
        <f>IF(tlmdata[[#This Row],[Management_Regime]]=tlmdata[[#Headers],[Biodiverse planting]],1,0)</f>
        <v>0</v>
      </c>
      <c r="E34">
        <v>27.1</v>
      </c>
      <c r="G34">
        <v>8</v>
      </c>
      <c r="H34">
        <v>42.513043478260862</v>
      </c>
      <c r="I34">
        <v>1.5869565217391397</v>
      </c>
      <c r="K34">
        <v>8.9285714285714288</v>
      </c>
      <c r="L34">
        <v>31</v>
      </c>
    </row>
    <row r="35" spans="1:12" x14ac:dyDescent="0.3">
      <c r="A35" t="s">
        <v>118</v>
      </c>
      <c r="B35" t="s">
        <v>88</v>
      </c>
      <c r="C35">
        <f>IF(tlmdata[[#This Row],[Management_Regime]]=tlmdata[[#Headers],[Routine mow]],1,0)</f>
        <v>0</v>
      </c>
      <c r="D35">
        <f>IF(tlmdata[[#This Row],[Management_Regime]]=tlmdata[[#Headers],[Biodiverse planting]],1,0)</f>
        <v>1</v>
      </c>
      <c r="E35">
        <v>32.5</v>
      </c>
      <c r="G35">
        <v>9</v>
      </c>
      <c r="H35">
        <v>40.364516129032246</v>
      </c>
      <c r="I35">
        <v>-4.3645161290322463</v>
      </c>
      <c r="K35">
        <v>10.119047619047619</v>
      </c>
      <c r="L35">
        <v>31.1</v>
      </c>
    </row>
    <row r="36" spans="1:12" x14ac:dyDescent="0.3">
      <c r="A36" t="s">
        <v>119</v>
      </c>
      <c r="B36" t="s">
        <v>83</v>
      </c>
      <c r="C36">
        <f>IF(tlmdata[[#This Row],[Management_Regime]]=tlmdata[[#Headers],[Routine mow]],1,0)</f>
        <v>1</v>
      </c>
      <c r="D36">
        <f>IF(tlmdata[[#This Row],[Management_Regime]]=tlmdata[[#Headers],[Biodiverse planting]],1,0)</f>
        <v>0</v>
      </c>
      <c r="E36">
        <v>31.5</v>
      </c>
      <c r="G36">
        <v>10</v>
      </c>
      <c r="H36">
        <v>40.364516129032246</v>
      </c>
      <c r="I36">
        <v>-3.5645161290322491</v>
      </c>
      <c r="K36">
        <v>11.309523809523808</v>
      </c>
      <c r="L36">
        <v>31.3</v>
      </c>
    </row>
    <row r="37" spans="1:12" x14ac:dyDescent="0.3">
      <c r="A37" t="s">
        <v>120</v>
      </c>
      <c r="B37" t="s">
        <v>83</v>
      </c>
      <c r="C37">
        <f>IF(tlmdata[[#This Row],[Management_Regime]]=tlmdata[[#Headers],[Routine mow]],1,0)</f>
        <v>1</v>
      </c>
      <c r="D37">
        <f>IF(tlmdata[[#This Row],[Management_Regime]]=tlmdata[[#Headers],[Biodiverse planting]],1,0)</f>
        <v>0</v>
      </c>
      <c r="E37">
        <v>31.9</v>
      </c>
      <c r="G37">
        <v>11</v>
      </c>
      <c r="H37">
        <v>42.513043478260862</v>
      </c>
      <c r="I37">
        <v>9.5869565217391397</v>
      </c>
      <c r="K37">
        <v>12.5</v>
      </c>
      <c r="L37">
        <v>31.5</v>
      </c>
    </row>
    <row r="38" spans="1:12" x14ac:dyDescent="0.3">
      <c r="A38" t="s">
        <v>121</v>
      </c>
      <c r="B38" t="s">
        <v>85</v>
      </c>
      <c r="C38">
        <f>IF(tlmdata[[#This Row],[Management_Regime]]=tlmdata[[#Headers],[Routine mow]],1,0)</f>
        <v>0</v>
      </c>
      <c r="D38">
        <f>IF(tlmdata[[#This Row],[Management_Regime]]=tlmdata[[#Headers],[Biodiverse planting]],1,0)</f>
        <v>0</v>
      </c>
      <c r="E38">
        <v>41.3</v>
      </c>
      <c r="G38">
        <v>12</v>
      </c>
      <c r="H38">
        <v>42.513043478260862</v>
      </c>
      <c r="I38">
        <v>1.5869565217391397</v>
      </c>
      <c r="K38">
        <v>13.69047619047619</v>
      </c>
      <c r="L38">
        <v>31.9</v>
      </c>
    </row>
    <row r="39" spans="1:12" x14ac:dyDescent="0.3">
      <c r="A39" t="s">
        <v>122</v>
      </c>
      <c r="B39" t="s">
        <v>85</v>
      </c>
      <c r="C39">
        <f>IF(tlmdata[[#This Row],[Management_Regime]]=tlmdata[[#Headers],[Routine mow]],1,0)</f>
        <v>0</v>
      </c>
      <c r="D39">
        <f>IF(tlmdata[[#This Row],[Management_Regime]]=tlmdata[[#Headers],[Biodiverse planting]],1,0)</f>
        <v>0</v>
      </c>
      <c r="E39">
        <v>31.9</v>
      </c>
      <c r="G39">
        <v>13</v>
      </c>
      <c r="H39">
        <v>40.364516129032246</v>
      </c>
      <c r="I39">
        <v>-1.0645161290322491</v>
      </c>
      <c r="K39">
        <v>14.88095238095238</v>
      </c>
      <c r="L39">
        <v>31.9</v>
      </c>
    </row>
    <row r="40" spans="1:12" x14ac:dyDescent="0.3">
      <c r="A40" t="s">
        <v>123</v>
      </c>
      <c r="B40" t="s">
        <v>88</v>
      </c>
      <c r="C40">
        <f>IF(tlmdata[[#This Row],[Management_Regime]]=tlmdata[[#Headers],[Routine mow]],1,0)</f>
        <v>0</v>
      </c>
      <c r="D40">
        <f>IF(tlmdata[[#This Row],[Management_Regime]]=tlmdata[[#Headers],[Biodiverse planting]],1,0)</f>
        <v>1</v>
      </c>
      <c r="E40">
        <v>22</v>
      </c>
      <c r="G40">
        <v>14</v>
      </c>
      <c r="H40">
        <v>42.513043478260862</v>
      </c>
      <c r="I40">
        <v>-2.0130434782608617</v>
      </c>
      <c r="K40">
        <v>16.071428571428573</v>
      </c>
      <c r="L40">
        <v>32.1</v>
      </c>
    </row>
    <row r="41" spans="1:12" x14ac:dyDescent="0.3">
      <c r="A41" t="s">
        <v>124</v>
      </c>
      <c r="B41" t="s">
        <v>85</v>
      </c>
      <c r="C41">
        <f>IF(tlmdata[[#This Row],[Management_Regime]]=tlmdata[[#Headers],[Routine mow]],1,0)</f>
        <v>0</v>
      </c>
      <c r="D41">
        <f>IF(tlmdata[[#This Row],[Management_Regime]]=tlmdata[[#Headers],[Biodiverse planting]],1,0)</f>
        <v>0</v>
      </c>
      <c r="E41">
        <v>47.9</v>
      </c>
      <c r="G41">
        <v>15</v>
      </c>
      <c r="H41">
        <v>42.513043478260862</v>
      </c>
      <c r="I41">
        <v>0.98695652173913828</v>
      </c>
      <c r="K41">
        <v>17.261904761904763</v>
      </c>
      <c r="L41">
        <v>32.4</v>
      </c>
    </row>
    <row r="42" spans="1:12" x14ac:dyDescent="0.3">
      <c r="A42" t="s">
        <v>125</v>
      </c>
      <c r="B42" t="s">
        <v>83</v>
      </c>
      <c r="C42">
        <f>IF(tlmdata[[#This Row],[Management_Regime]]=tlmdata[[#Headers],[Routine mow]],1,0)</f>
        <v>1</v>
      </c>
      <c r="D42">
        <f>IF(tlmdata[[#This Row],[Management_Regime]]=tlmdata[[#Headers],[Biodiverse planting]],1,0)</f>
        <v>0</v>
      </c>
      <c r="E42">
        <v>33.1</v>
      </c>
      <c r="G42">
        <v>16</v>
      </c>
      <c r="H42">
        <v>40.364516129032246</v>
      </c>
      <c r="I42">
        <v>-9.0645161290322456</v>
      </c>
      <c r="K42">
        <v>18.452380952380953</v>
      </c>
      <c r="L42">
        <v>32.5</v>
      </c>
    </row>
    <row r="43" spans="1:12" x14ac:dyDescent="0.3">
      <c r="A43" t="s">
        <v>126</v>
      </c>
      <c r="B43" t="s">
        <v>88</v>
      </c>
      <c r="C43">
        <f>IF(tlmdata[[#This Row],[Management_Regime]]=tlmdata[[#Headers],[Routine mow]],1,0)</f>
        <v>0</v>
      </c>
      <c r="D43">
        <f>IF(tlmdata[[#This Row],[Management_Regime]]=tlmdata[[#Headers],[Biodiverse planting]],1,0)</f>
        <v>1</v>
      </c>
      <c r="E43">
        <v>41.4</v>
      </c>
      <c r="G43">
        <v>17</v>
      </c>
      <c r="H43">
        <v>34.954831565783046</v>
      </c>
      <c r="I43">
        <v>3.5451684342169543</v>
      </c>
      <c r="K43">
        <v>19.642857142857142</v>
      </c>
      <c r="L43">
        <v>32.700000000000003</v>
      </c>
    </row>
    <row r="44" spans="1:12" x14ac:dyDescent="0.3">
      <c r="A44" t="s">
        <v>127</v>
      </c>
      <c r="B44" t="s">
        <v>83</v>
      </c>
      <c r="C44">
        <f>IF(tlmdata[[#This Row],[Management_Regime]]=tlmdata[[#Headers],[Routine mow]],1,0)</f>
        <v>1</v>
      </c>
      <c r="D44">
        <f>IF(tlmdata[[#This Row],[Management_Regime]]=tlmdata[[#Headers],[Biodiverse planting]],1,0)</f>
        <v>0</v>
      </c>
      <c r="E44">
        <v>32.700000000000003</v>
      </c>
      <c r="G44">
        <v>18</v>
      </c>
      <c r="H44">
        <v>42.513043478260862</v>
      </c>
      <c r="I44">
        <v>-3.5130434782608617</v>
      </c>
      <c r="K44">
        <v>20.833333333333332</v>
      </c>
      <c r="L44">
        <v>32.9</v>
      </c>
    </row>
    <row r="45" spans="1:12" x14ac:dyDescent="0.3">
      <c r="A45" t="s">
        <v>128</v>
      </c>
      <c r="B45" t="s">
        <v>85</v>
      </c>
      <c r="C45">
        <f>IF(tlmdata[[#This Row],[Management_Regime]]=tlmdata[[#Headers],[Routine mow]],1,0)</f>
        <v>0</v>
      </c>
      <c r="D45">
        <f>IF(tlmdata[[#This Row],[Management_Regime]]=tlmdata[[#Headers],[Biodiverse planting]],1,0)</f>
        <v>0</v>
      </c>
      <c r="E45">
        <v>42.4</v>
      </c>
      <c r="G45">
        <v>19</v>
      </c>
      <c r="H45">
        <v>42.513043478260862</v>
      </c>
      <c r="I45">
        <v>8.9869565217391383</v>
      </c>
      <c r="K45">
        <v>22.023809523809522</v>
      </c>
      <c r="L45">
        <v>33.1</v>
      </c>
    </row>
    <row r="46" spans="1:12" x14ac:dyDescent="0.3">
      <c r="A46" t="s">
        <v>129</v>
      </c>
      <c r="B46" t="s">
        <v>83</v>
      </c>
      <c r="C46">
        <f>IF(tlmdata[[#This Row],[Management_Regime]]=tlmdata[[#Headers],[Routine mow]],1,0)</f>
        <v>1</v>
      </c>
      <c r="D46">
        <f>IF(tlmdata[[#This Row],[Management_Regime]]=tlmdata[[#Headers],[Biodiverse planting]],1,0)</f>
        <v>0</v>
      </c>
      <c r="E46">
        <v>34.299999999999997</v>
      </c>
      <c r="G46">
        <v>20</v>
      </c>
      <c r="H46">
        <v>42.513043478260862</v>
      </c>
      <c r="I46">
        <v>7.7869565217391354</v>
      </c>
      <c r="K46">
        <v>23.214285714285715</v>
      </c>
      <c r="L46">
        <v>33.700000000000003</v>
      </c>
    </row>
    <row r="47" spans="1:12" x14ac:dyDescent="0.3">
      <c r="A47" t="s">
        <v>130</v>
      </c>
      <c r="B47" t="s">
        <v>85</v>
      </c>
      <c r="C47">
        <f>IF(tlmdata[[#This Row],[Management_Regime]]=tlmdata[[#Headers],[Routine mow]],1,0)</f>
        <v>0</v>
      </c>
      <c r="D47">
        <f>IF(tlmdata[[#This Row],[Management_Regime]]=tlmdata[[#Headers],[Biodiverse planting]],1,0)</f>
        <v>0</v>
      </c>
      <c r="E47">
        <v>48.8</v>
      </c>
      <c r="G47">
        <v>21</v>
      </c>
      <c r="H47">
        <v>34.954831565783046</v>
      </c>
      <c r="I47">
        <v>-4.154831565783045</v>
      </c>
      <c r="K47">
        <v>24.404761904761905</v>
      </c>
      <c r="L47">
        <v>33.9</v>
      </c>
    </row>
    <row r="48" spans="1:12" x14ac:dyDescent="0.3">
      <c r="A48" t="s">
        <v>131</v>
      </c>
      <c r="B48" t="s">
        <v>85</v>
      </c>
      <c r="C48">
        <f>IF(tlmdata[[#This Row],[Management_Regime]]=tlmdata[[#Headers],[Routine mow]],1,0)</f>
        <v>0</v>
      </c>
      <c r="D48">
        <f>IF(tlmdata[[#This Row],[Management_Regime]]=tlmdata[[#Headers],[Biodiverse planting]],1,0)</f>
        <v>0</v>
      </c>
      <c r="E48">
        <v>46.5</v>
      </c>
      <c r="G48">
        <v>22</v>
      </c>
      <c r="H48">
        <v>40.364516129032246</v>
      </c>
      <c r="I48">
        <v>-0.76451612903224486</v>
      </c>
      <c r="K48">
        <v>25.595238095238095</v>
      </c>
      <c r="L48">
        <v>34</v>
      </c>
    </row>
    <row r="49" spans="1:12" x14ac:dyDescent="0.3">
      <c r="A49" t="s">
        <v>132</v>
      </c>
      <c r="B49" t="s">
        <v>85</v>
      </c>
      <c r="C49">
        <f>IF(tlmdata[[#This Row],[Management_Regime]]=tlmdata[[#Headers],[Routine mow]],1,0)</f>
        <v>0</v>
      </c>
      <c r="D49">
        <f>IF(tlmdata[[#This Row],[Management_Regime]]=tlmdata[[#Headers],[Biodiverse planting]],1,0)</f>
        <v>0</v>
      </c>
      <c r="E49">
        <v>46.2</v>
      </c>
      <c r="G49">
        <v>23</v>
      </c>
      <c r="H49">
        <v>42.513043478260862</v>
      </c>
      <c r="I49">
        <v>1.7869565217391354</v>
      </c>
      <c r="K49">
        <v>26.785714285714285</v>
      </c>
      <c r="L49">
        <v>34.1</v>
      </c>
    </row>
    <row r="50" spans="1:12" x14ac:dyDescent="0.3">
      <c r="A50" t="s">
        <v>133</v>
      </c>
      <c r="B50" t="s">
        <v>85</v>
      </c>
      <c r="C50">
        <f>IF(tlmdata[[#This Row],[Management_Regime]]=tlmdata[[#Headers],[Routine mow]],1,0)</f>
        <v>0</v>
      </c>
      <c r="D50">
        <f>IF(tlmdata[[#This Row],[Management_Regime]]=tlmdata[[#Headers],[Biodiverse planting]],1,0)</f>
        <v>0</v>
      </c>
      <c r="E50">
        <v>34.5</v>
      </c>
      <c r="G50">
        <v>24</v>
      </c>
      <c r="H50">
        <v>34.954831565783046</v>
      </c>
      <c r="I50">
        <v>-12.554831565783047</v>
      </c>
      <c r="K50">
        <v>27.976190476190474</v>
      </c>
      <c r="L50">
        <v>34.200000000000003</v>
      </c>
    </row>
    <row r="51" spans="1:12" x14ac:dyDescent="0.3">
      <c r="A51" t="s">
        <v>134</v>
      </c>
      <c r="B51" t="s">
        <v>83</v>
      </c>
      <c r="C51">
        <f>IF(tlmdata[[#This Row],[Management_Regime]]=tlmdata[[#Headers],[Routine mow]],1,0)</f>
        <v>1</v>
      </c>
      <c r="D51">
        <f>IF(tlmdata[[#This Row],[Management_Regime]]=tlmdata[[#Headers],[Biodiverse planting]],1,0)</f>
        <v>0</v>
      </c>
      <c r="E51">
        <v>41.4</v>
      </c>
      <c r="G51">
        <v>25</v>
      </c>
      <c r="H51">
        <v>34.954831565783046</v>
      </c>
      <c r="I51">
        <v>4.3451684342169514</v>
      </c>
      <c r="K51">
        <v>29.166666666666664</v>
      </c>
      <c r="L51">
        <v>34.299999999999997</v>
      </c>
    </row>
    <row r="52" spans="1:12" x14ac:dyDescent="0.3">
      <c r="A52" t="s">
        <v>135</v>
      </c>
      <c r="B52" t="s">
        <v>83</v>
      </c>
      <c r="C52">
        <f>IF(tlmdata[[#This Row],[Management_Regime]]=tlmdata[[#Headers],[Routine mow]],1,0)</f>
        <v>1</v>
      </c>
      <c r="D52">
        <f>IF(tlmdata[[#This Row],[Management_Regime]]=tlmdata[[#Headers],[Biodiverse planting]],1,0)</f>
        <v>0</v>
      </c>
      <c r="E52">
        <v>32.1</v>
      </c>
      <c r="G52">
        <v>26</v>
      </c>
      <c r="H52">
        <v>34.954831565783046</v>
      </c>
      <c r="I52">
        <v>3.4451684342169528</v>
      </c>
      <c r="K52">
        <v>30.357142857142858</v>
      </c>
      <c r="L52">
        <v>34.5</v>
      </c>
    </row>
    <row r="53" spans="1:12" x14ac:dyDescent="0.3">
      <c r="A53" t="s">
        <v>136</v>
      </c>
      <c r="B53" t="s">
        <v>83</v>
      </c>
      <c r="C53">
        <f>IF(tlmdata[[#This Row],[Management_Regime]]=tlmdata[[#Headers],[Routine mow]],1,0)</f>
        <v>1</v>
      </c>
      <c r="D53">
        <f>IF(tlmdata[[#This Row],[Management_Regime]]=tlmdata[[#Headers],[Biodiverse planting]],1,0)</f>
        <v>0</v>
      </c>
      <c r="E53">
        <v>41.2</v>
      </c>
      <c r="G53">
        <v>27</v>
      </c>
      <c r="H53">
        <v>40.364516129032246</v>
      </c>
      <c r="I53">
        <v>4.2354838709677551</v>
      </c>
      <c r="K53">
        <v>31.547619047619047</v>
      </c>
      <c r="L53">
        <v>35.6</v>
      </c>
    </row>
    <row r="54" spans="1:12" x14ac:dyDescent="0.3">
      <c r="A54" t="s">
        <v>137</v>
      </c>
      <c r="B54" t="s">
        <v>85</v>
      </c>
      <c r="C54">
        <f>IF(tlmdata[[#This Row],[Management_Regime]]=tlmdata[[#Headers],[Routine mow]],1,0)</f>
        <v>0</v>
      </c>
      <c r="D54">
        <f>IF(tlmdata[[#This Row],[Management_Regime]]=tlmdata[[#Headers],[Biodiverse planting]],1,0)</f>
        <v>0</v>
      </c>
      <c r="E54">
        <v>46.3</v>
      </c>
      <c r="G54">
        <v>28</v>
      </c>
      <c r="H54">
        <v>40.364516129032246</v>
      </c>
      <c r="I54">
        <v>5.3354838709677566</v>
      </c>
      <c r="K54">
        <v>32.738095238095241</v>
      </c>
      <c r="L54">
        <v>35.799999999999997</v>
      </c>
    </row>
    <row r="55" spans="1:12" x14ac:dyDescent="0.3">
      <c r="A55" t="s">
        <v>138</v>
      </c>
      <c r="B55" t="s">
        <v>85</v>
      </c>
      <c r="C55">
        <f>IF(tlmdata[[#This Row],[Management_Regime]]=tlmdata[[#Headers],[Routine mow]],1,0)</f>
        <v>0</v>
      </c>
      <c r="D55">
        <f>IF(tlmdata[[#This Row],[Management_Regime]]=tlmdata[[#Headers],[Biodiverse planting]],1,0)</f>
        <v>0</v>
      </c>
      <c r="E55">
        <v>40.799999999999997</v>
      </c>
      <c r="G55">
        <v>29</v>
      </c>
      <c r="H55">
        <v>40.364516129032246</v>
      </c>
      <c r="I55">
        <v>1.9354838709677509</v>
      </c>
      <c r="K55">
        <v>33.928571428571431</v>
      </c>
      <c r="L55">
        <v>36</v>
      </c>
    </row>
    <row r="56" spans="1:12" x14ac:dyDescent="0.3">
      <c r="A56" t="s">
        <v>139</v>
      </c>
      <c r="B56" t="s">
        <v>83</v>
      </c>
      <c r="C56">
        <f>IF(tlmdata[[#This Row],[Management_Regime]]=tlmdata[[#Headers],[Routine mow]],1,0)</f>
        <v>1</v>
      </c>
      <c r="D56">
        <f>IF(tlmdata[[#This Row],[Management_Regime]]=tlmdata[[#Headers],[Biodiverse planting]],1,0)</f>
        <v>0</v>
      </c>
      <c r="E56">
        <v>35.799999999999997</v>
      </c>
      <c r="G56">
        <v>30</v>
      </c>
      <c r="H56">
        <v>40.364516129032246</v>
      </c>
      <c r="I56">
        <v>-1.2645161290322449</v>
      </c>
      <c r="K56">
        <v>35.11904761904762</v>
      </c>
      <c r="L56">
        <v>36</v>
      </c>
    </row>
    <row r="57" spans="1:12" x14ac:dyDescent="0.3">
      <c r="A57" t="s">
        <v>140</v>
      </c>
      <c r="B57" t="s">
        <v>88</v>
      </c>
      <c r="C57">
        <f>IF(tlmdata[[#This Row],[Management_Regime]]=tlmdata[[#Headers],[Routine mow]],1,0)</f>
        <v>0</v>
      </c>
      <c r="D57">
        <f>IF(tlmdata[[#This Row],[Management_Regime]]=tlmdata[[#Headers],[Biodiverse planting]],1,0)</f>
        <v>1</v>
      </c>
      <c r="E57">
        <v>47.5</v>
      </c>
      <c r="G57">
        <v>31</v>
      </c>
      <c r="H57">
        <v>40.364516129032246</v>
      </c>
      <c r="I57">
        <v>-4.3645161290322463</v>
      </c>
      <c r="K57">
        <v>36.30952380952381</v>
      </c>
      <c r="L57">
        <v>36</v>
      </c>
    </row>
    <row r="58" spans="1:12" x14ac:dyDescent="0.3">
      <c r="A58" t="s">
        <v>141</v>
      </c>
      <c r="B58" t="s">
        <v>88</v>
      </c>
      <c r="C58">
        <f>IF(tlmdata[[#This Row],[Management_Regime]]=tlmdata[[#Headers],[Routine mow]],1,0)</f>
        <v>0</v>
      </c>
      <c r="D58">
        <f>IF(tlmdata[[#This Row],[Management_Regime]]=tlmdata[[#Headers],[Biodiverse planting]],1,0)</f>
        <v>1</v>
      </c>
      <c r="E58">
        <v>29.3</v>
      </c>
      <c r="G58">
        <v>32</v>
      </c>
      <c r="H58">
        <v>34.954831565783046</v>
      </c>
      <c r="I58">
        <v>-1.0548315657830472</v>
      </c>
      <c r="K58">
        <v>37.5</v>
      </c>
      <c r="L58">
        <v>36.6</v>
      </c>
    </row>
    <row r="59" spans="1:12" x14ac:dyDescent="0.3">
      <c r="A59" t="s">
        <v>142</v>
      </c>
      <c r="B59" t="s">
        <v>83</v>
      </c>
      <c r="C59">
        <f>IF(tlmdata[[#This Row],[Management_Regime]]=tlmdata[[#Headers],[Routine mow]],1,0)</f>
        <v>1</v>
      </c>
      <c r="D59">
        <f>IF(tlmdata[[#This Row],[Management_Regime]]=tlmdata[[#Headers],[Biodiverse planting]],1,0)</f>
        <v>0</v>
      </c>
      <c r="E59">
        <v>18.8</v>
      </c>
      <c r="G59">
        <v>33</v>
      </c>
      <c r="H59">
        <v>34.954831565783046</v>
      </c>
      <c r="I59">
        <v>-7.8548315657830443</v>
      </c>
      <c r="K59">
        <v>38.69047619047619</v>
      </c>
      <c r="L59">
        <v>36.6</v>
      </c>
    </row>
    <row r="60" spans="1:12" x14ac:dyDescent="0.3">
      <c r="A60" t="s">
        <v>143</v>
      </c>
      <c r="B60" t="s">
        <v>88</v>
      </c>
      <c r="C60">
        <f>IF(tlmdata[[#This Row],[Management_Regime]]=tlmdata[[#Headers],[Routine mow]],1,0)</f>
        <v>0</v>
      </c>
      <c r="D60">
        <f>IF(tlmdata[[#This Row],[Management_Regime]]=tlmdata[[#Headers],[Biodiverse planting]],1,0)</f>
        <v>1</v>
      </c>
      <c r="E60">
        <v>50</v>
      </c>
      <c r="G60">
        <v>34</v>
      </c>
      <c r="H60">
        <v>42.513043478260862</v>
      </c>
      <c r="I60">
        <v>-10.013043478260862</v>
      </c>
      <c r="K60">
        <v>39.88095238095238</v>
      </c>
      <c r="L60">
        <v>36.700000000000003</v>
      </c>
    </row>
    <row r="61" spans="1:12" x14ac:dyDescent="0.3">
      <c r="A61" t="s">
        <v>144</v>
      </c>
      <c r="B61" t="s">
        <v>85</v>
      </c>
      <c r="C61">
        <f>IF(tlmdata[[#This Row],[Management_Regime]]=tlmdata[[#Headers],[Routine mow]],1,0)</f>
        <v>0</v>
      </c>
      <c r="D61">
        <f>IF(tlmdata[[#This Row],[Management_Regime]]=tlmdata[[#Headers],[Biodiverse planting]],1,0)</f>
        <v>0</v>
      </c>
      <c r="E61">
        <v>31.1</v>
      </c>
      <c r="G61">
        <v>35</v>
      </c>
      <c r="H61">
        <v>34.954831565783046</v>
      </c>
      <c r="I61">
        <v>-3.4548315657830457</v>
      </c>
      <c r="K61">
        <v>41.071428571428569</v>
      </c>
      <c r="L61">
        <v>36.799999999999997</v>
      </c>
    </row>
    <row r="62" spans="1:12" x14ac:dyDescent="0.3">
      <c r="A62" t="s">
        <v>145</v>
      </c>
      <c r="B62" t="s">
        <v>85</v>
      </c>
      <c r="C62">
        <f>IF(tlmdata[[#This Row],[Management_Regime]]=tlmdata[[#Headers],[Routine mow]],1,0)</f>
        <v>0</v>
      </c>
      <c r="D62">
        <f>IF(tlmdata[[#This Row],[Management_Regime]]=tlmdata[[#Headers],[Biodiverse planting]],1,0)</f>
        <v>0</v>
      </c>
      <c r="E62">
        <v>39.1</v>
      </c>
      <c r="G62">
        <v>36</v>
      </c>
      <c r="H62">
        <v>34.954831565783046</v>
      </c>
      <c r="I62">
        <v>-3.0548315657830472</v>
      </c>
      <c r="K62">
        <v>42.261904761904759</v>
      </c>
      <c r="L62">
        <v>38.200000000000003</v>
      </c>
    </row>
    <row r="63" spans="1:12" x14ac:dyDescent="0.3">
      <c r="A63" t="s">
        <v>146</v>
      </c>
      <c r="B63" t="s">
        <v>88</v>
      </c>
      <c r="C63">
        <f>IF(tlmdata[[#This Row],[Management_Regime]]=tlmdata[[#Headers],[Routine mow]],1,0)</f>
        <v>0</v>
      </c>
      <c r="D63">
        <f>IF(tlmdata[[#This Row],[Management_Regime]]=tlmdata[[#Headers],[Biodiverse planting]],1,0)</f>
        <v>1</v>
      </c>
      <c r="E63">
        <v>41.1</v>
      </c>
      <c r="G63">
        <v>37</v>
      </c>
      <c r="H63">
        <v>40.364516129032246</v>
      </c>
      <c r="I63">
        <v>0.93548387096775087</v>
      </c>
      <c r="K63">
        <v>43.452380952380949</v>
      </c>
      <c r="L63">
        <v>38.4</v>
      </c>
    </row>
    <row r="64" spans="1:12" x14ac:dyDescent="0.3">
      <c r="A64" t="s">
        <v>147</v>
      </c>
      <c r="B64" t="s">
        <v>88</v>
      </c>
      <c r="C64">
        <f>IF(tlmdata[[#This Row],[Management_Regime]]=tlmdata[[#Headers],[Routine mow]],1,0)</f>
        <v>0</v>
      </c>
      <c r="D64">
        <f>IF(tlmdata[[#This Row],[Management_Regime]]=tlmdata[[#Headers],[Biodiverse planting]],1,0)</f>
        <v>1</v>
      </c>
      <c r="E64">
        <v>32.9</v>
      </c>
      <c r="G64">
        <v>38</v>
      </c>
      <c r="H64">
        <v>40.364516129032246</v>
      </c>
      <c r="I64">
        <v>-8.4645161290322477</v>
      </c>
      <c r="K64">
        <v>44.642857142857139</v>
      </c>
      <c r="L64">
        <v>38.5</v>
      </c>
    </row>
    <row r="65" spans="1:12" x14ac:dyDescent="0.3">
      <c r="A65" t="s">
        <v>148</v>
      </c>
      <c r="B65" t="s">
        <v>83</v>
      </c>
      <c r="C65">
        <f>IF(tlmdata[[#This Row],[Management_Regime]]=tlmdata[[#Headers],[Routine mow]],1,0)</f>
        <v>1</v>
      </c>
      <c r="D65">
        <f>IF(tlmdata[[#This Row],[Management_Regime]]=tlmdata[[#Headers],[Biodiverse planting]],1,0)</f>
        <v>0</v>
      </c>
      <c r="E65">
        <v>34.200000000000003</v>
      </c>
      <c r="G65">
        <v>39</v>
      </c>
      <c r="H65">
        <v>42.513043478260862</v>
      </c>
      <c r="I65">
        <v>-20.513043478260862</v>
      </c>
      <c r="K65">
        <v>45.833333333333336</v>
      </c>
      <c r="L65">
        <v>38.700000000000003</v>
      </c>
    </row>
    <row r="66" spans="1:12" x14ac:dyDescent="0.3">
      <c r="A66" t="s">
        <v>149</v>
      </c>
      <c r="B66" t="s">
        <v>83</v>
      </c>
      <c r="C66">
        <f>IF(tlmdata[[#This Row],[Management_Regime]]=tlmdata[[#Headers],[Routine mow]],1,0)</f>
        <v>1</v>
      </c>
      <c r="D66">
        <f>IF(tlmdata[[#This Row],[Management_Regime]]=tlmdata[[#Headers],[Biodiverse planting]],1,0)</f>
        <v>0</v>
      </c>
      <c r="E66">
        <v>27.5</v>
      </c>
      <c r="G66">
        <v>40</v>
      </c>
      <c r="H66">
        <v>40.364516129032246</v>
      </c>
      <c r="I66">
        <v>7.5354838709677523</v>
      </c>
      <c r="K66">
        <v>47.023809523809526</v>
      </c>
      <c r="L66">
        <v>39</v>
      </c>
    </row>
    <row r="67" spans="1:12" x14ac:dyDescent="0.3">
      <c r="A67" t="s">
        <v>150</v>
      </c>
      <c r="B67" t="s">
        <v>85</v>
      </c>
      <c r="C67">
        <f>IF(tlmdata[[#This Row],[Management_Regime]]=tlmdata[[#Headers],[Routine mow]],1,0)</f>
        <v>0</v>
      </c>
      <c r="D67">
        <f>IF(tlmdata[[#This Row],[Management_Regime]]=tlmdata[[#Headers],[Biodiverse planting]],1,0)</f>
        <v>0</v>
      </c>
      <c r="E67">
        <v>48.8</v>
      </c>
      <c r="G67">
        <v>41</v>
      </c>
      <c r="H67">
        <v>34.954831565783046</v>
      </c>
      <c r="I67">
        <v>-1.8548315657830443</v>
      </c>
      <c r="K67">
        <v>48.214285714285715</v>
      </c>
      <c r="L67">
        <v>39.1</v>
      </c>
    </row>
    <row r="68" spans="1:12" x14ac:dyDescent="0.3">
      <c r="A68" t="s">
        <v>151</v>
      </c>
      <c r="B68" t="s">
        <v>88</v>
      </c>
      <c r="C68">
        <f>IF(tlmdata[[#This Row],[Management_Regime]]=tlmdata[[#Headers],[Routine mow]],1,0)</f>
        <v>0</v>
      </c>
      <c r="D68">
        <f>IF(tlmdata[[#This Row],[Management_Regime]]=tlmdata[[#Headers],[Biodiverse planting]],1,0)</f>
        <v>1</v>
      </c>
      <c r="E68">
        <v>48.4</v>
      </c>
      <c r="G68">
        <v>42</v>
      </c>
      <c r="H68">
        <v>42.513043478260862</v>
      </c>
      <c r="I68">
        <v>-1.1130434782608631</v>
      </c>
      <c r="K68">
        <v>49.404761904761905</v>
      </c>
      <c r="L68">
        <v>39.1</v>
      </c>
    </row>
    <row r="69" spans="1:12" x14ac:dyDescent="0.3">
      <c r="A69" t="s">
        <v>152</v>
      </c>
      <c r="B69" t="s">
        <v>88</v>
      </c>
      <c r="C69">
        <f>IF(tlmdata[[#This Row],[Management_Regime]]=tlmdata[[#Headers],[Routine mow]],1,0)</f>
        <v>0</v>
      </c>
      <c r="D69">
        <f>IF(tlmdata[[#This Row],[Management_Regime]]=tlmdata[[#Headers],[Biodiverse planting]],1,0)</f>
        <v>1</v>
      </c>
      <c r="E69">
        <v>36.700000000000003</v>
      </c>
      <c r="G69">
        <v>43</v>
      </c>
      <c r="H69">
        <v>34.954831565783046</v>
      </c>
      <c r="I69">
        <v>-2.2548315657830429</v>
      </c>
      <c r="K69">
        <v>50.595238095238095</v>
      </c>
      <c r="L69">
        <v>39.299999999999997</v>
      </c>
    </row>
    <row r="70" spans="1:12" x14ac:dyDescent="0.3">
      <c r="A70" t="s">
        <v>153</v>
      </c>
      <c r="B70" t="s">
        <v>83</v>
      </c>
      <c r="C70">
        <f>IF(tlmdata[[#This Row],[Management_Regime]]=tlmdata[[#Headers],[Routine mow]],1,0)</f>
        <v>1</v>
      </c>
      <c r="D70">
        <f>IF(tlmdata[[#This Row],[Management_Regime]]=tlmdata[[#Headers],[Biodiverse planting]],1,0)</f>
        <v>0</v>
      </c>
      <c r="E70">
        <v>36.6</v>
      </c>
      <c r="G70">
        <v>44</v>
      </c>
      <c r="H70">
        <v>40.364516129032246</v>
      </c>
      <c r="I70">
        <v>2.0354838709677523</v>
      </c>
      <c r="K70">
        <v>51.785714285714285</v>
      </c>
      <c r="L70">
        <v>39.299999999999997</v>
      </c>
    </row>
    <row r="71" spans="1:12" x14ac:dyDescent="0.3">
      <c r="A71" t="s">
        <v>154</v>
      </c>
      <c r="B71" t="s">
        <v>83</v>
      </c>
      <c r="C71">
        <f>IF(tlmdata[[#This Row],[Management_Regime]]=tlmdata[[#Headers],[Routine mow]],1,0)</f>
        <v>1</v>
      </c>
      <c r="D71">
        <f>IF(tlmdata[[#This Row],[Management_Regime]]=tlmdata[[#Headers],[Biodiverse planting]],1,0)</f>
        <v>0</v>
      </c>
      <c r="E71">
        <v>41.7</v>
      </c>
      <c r="G71">
        <v>45</v>
      </c>
      <c r="H71">
        <v>34.954831565783046</v>
      </c>
      <c r="I71">
        <v>-0.65483156578304857</v>
      </c>
      <c r="K71">
        <v>52.976190476190474</v>
      </c>
      <c r="L71">
        <v>39.6</v>
      </c>
    </row>
    <row r="72" spans="1:12" x14ac:dyDescent="0.3">
      <c r="A72" t="s">
        <v>155</v>
      </c>
      <c r="B72" t="s">
        <v>88</v>
      </c>
      <c r="C72">
        <f>IF(tlmdata[[#This Row],[Management_Regime]]=tlmdata[[#Headers],[Routine mow]],1,0)</f>
        <v>0</v>
      </c>
      <c r="D72">
        <f>IF(tlmdata[[#This Row],[Management_Regime]]=tlmdata[[#Headers],[Biodiverse planting]],1,0)</f>
        <v>1</v>
      </c>
      <c r="E72">
        <v>47.7</v>
      </c>
      <c r="G72">
        <v>46</v>
      </c>
      <c r="H72">
        <v>40.364516129032246</v>
      </c>
      <c r="I72">
        <v>8.4354838709677509</v>
      </c>
      <c r="K72">
        <v>54.166666666666664</v>
      </c>
      <c r="L72">
        <v>40.200000000000003</v>
      </c>
    </row>
    <row r="73" spans="1:12" x14ac:dyDescent="0.3">
      <c r="A73" t="s">
        <v>156</v>
      </c>
      <c r="B73" t="s">
        <v>85</v>
      </c>
      <c r="C73">
        <f>IF(tlmdata[[#This Row],[Management_Regime]]=tlmdata[[#Headers],[Routine mow]],1,0)</f>
        <v>0</v>
      </c>
      <c r="D73">
        <f>IF(tlmdata[[#This Row],[Management_Regime]]=tlmdata[[#Headers],[Biodiverse planting]],1,0)</f>
        <v>0</v>
      </c>
      <c r="E73">
        <v>38.700000000000003</v>
      </c>
      <c r="G73">
        <v>47</v>
      </c>
      <c r="H73">
        <v>40.364516129032246</v>
      </c>
      <c r="I73">
        <v>6.1354838709677537</v>
      </c>
      <c r="K73">
        <v>55.357142857142854</v>
      </c>
      <c r="L73">
        <v>40.5</v>
      </c>
    </row>
    <row r="74" spans="1:12" x14ac:dyDescent="0.3">
      <c r="A74" t="s">
        <v>157</v>
      </c>
      <c r="B74" t="s">
        <v>83</v>
      </c>
      <c r="C74">
        <f>IF(tlmdata[[#This Row],[Management_Regime]]=tlmdata[[#Headers],[Routine mow]],1,0)</f>
        <v>1</v>
      </c>
      <c r="D74">
        <f>IF(tlmdata[[#This Row],[Management_Regime]]=tlmdata[[#Headers],[Biodiverse planting]],1,0)</f>
        <v>0</v>
      </c>
      <c r="E74">
        <v>33.700000000000003</v>
      </c>
      <c r="G74">
        <v>48</v>
      </c>
      <c r="H74">
        <v>40.364516129032246</v>
      </c>
      <c r="I74">
        <v>5.8354838709677566</v>
      </c>
      <c r="K74">
        <v>56.547619047619044</v>
      </c>
      <c r="L74">
        <v>40.799999999999997</v>
      </c>
    </row>
    <row r="75" spans="1:12" x14ac:dyDescent="0.3">
      <c r="A75" t="s">
        <v>158</v>
      </c>
      <c r="B75" t="s">
        <v>85</v>
      </c>
      <c r="C75">
        <f>IF(tlmdata[[#This Row],[Management_Regime]]=tlmdata[[#Headers],[Routine mow]],1,0)</f>
        <v>0</v>
      </c>
      <c r="D75">
        <f>IF(tlmdata[[#This Row],[Management_Regime]]=tlmdata[[#Headers],[Biodiverse planting]],1,0)</f>
        <v>0</v>
      </c>
      <c r="E75">
        <v>36</v>
      </c>
      <c r="G75">
        <v>49</v>
      </c>
      <c r="H75">
        <v>40.364516129032246</v>
      </c>
      <c r="I75">
        <v>-5.8645161290322463</v>
      </c>
      <c r="K75">
        <v>57.738095238095234</v>
      </c>
      <c r="L75">
        <v>41.1</v>
      </c>
    </row>
    <row r="76" spans="1:12" x14ac:dyDescent="0.3">
      <c r="A76" t="s">
        <v>159</v>
      </c>
      <c r="B76" t="s">
        <v>85</v>
      </c>
      <c r="C76">
        <f>IF(tlmdata[[#This Row],[Management_Regime]]=tlmdata[[#Headers],[Routine mow]],1,0)</f>
        <v>0</v>
      </c>
      <c r="D76">
        <f>IF(tlmdata[[#This Row],[Management_Regime]]=tlmdata[[#Headers],[Biodiverse planting]],1,0)</f>
        <v>0</v>
      </c>
      <c r="E76">
        <v>31</v>
      </c>
      <c r="G76">
        <v>50</v>
      </c>
      <c r="H76">
        <v>34.954831565783046</v>
      </c>
      <c r="I76">
        <v>6.4451684342169528</v>
      </c>
      <c r="K76">
        <v>58.928571428571431</v>
      </c>
      <c r="L76">
        <v>41.2</v>
      </c>
    </row>
    <row r="77" spans="1:12" x14ac:dyDescent="0.3">
      <c r="A77" t="s">
        <v>160</v>
      </c>
      <c r="B77" t="s">
        <v>83</v>
      </c>
      <c r="C77">
        <f>IF(tlmdata[[#This Row],[Management_Regime]]=tlmdata[[#Headers],[Routine mow]],1,0)</f>
        <v>1</v>
      </c>
      <c r="D77">
        <f>IF(tlmdata[[#This Row],[Management_Regime]]=tlmdata[[#Headers],[Biodiverse planting]],1,0)</f>
        <v>0</v>
      </c>
      <c r="E77">
        <v>35.6</v>
      </c>
      <c r="G77">
        <v>51</v>
      </c>
      <c r="H77">
        <v>34.954831565783046</v>
      </c>
      <c r="I77">
        <v>-2.8548315657830443</v>
      </c>
      <c r="K77">
        <v>60.11904761904762</v>
      </c>
      <c r="L77">
        <v>41.2</v>
      </c>
    </row>
    <row r="78" spans="1:12" x14ac:dyDescent="0.3">
      <c r="A78" t="s">
        <v>161</v>
      </c>
      <c r="B78" t="s">
        <v>83</v>
      </c>
      <c r="C78">
        <f>IF(tlmdata[[#This Row],[Management_Regime]]=tlmdata[[#Headers],[Routine mow]],1,0)</f>
        <v>1</v>
      </c>
      <c r="D78">
        <f>IF(tlmdata[[#This Row],[Management_Regime]]=tlmdata[[#Headers],[Biodiverse planting]],1,0)</f>
        <v>0</v>
      </c>
      <c r="E78">
        <v>41.4</v>
      </c>
      <c r="G78">
        <v>52</v>
      </c>
      <c r="H78">
        <v>34.954831565783046</v>
      </c>
      <c r="I78">
        <v>6.2451684342169571</v>
      </c>
      <c r="K78">
        <v>61.30952380952381</v>
      </c>
      <c r="L78">
        <v>41.3</v>
      </c>
    </row>
    <row r="79" spans="1:12" x14ac:dyDescent="0.3">
      <c r="A79" t="s">
        <v>162</v>
      </c>
      <c r="B79" t="s">
        <v>83</v>
      </c>
      <c r="C79">
        <f>IF(tlmdata[[#This Row],[Management_Regime]]=tlmdata[[#Headers],[Routine mow]],1,0)</f>
        <v>1</v>
      </c>
      <c r="D79">
        <f>IF(tlmdata[[#This Row],[Management_Regime]]=tlmdata[[#Headers],[Biodiverse planting]],1,0)</f>
        <v>0</v>
      </c>
      <c r="E79">
        <v>38.200000000000003</v>
      </c>
      <c r="G79">
        <v>53</v>
      </c>
      <c r="H79">
        <v>40.364516129032246</v>
      </c>
      <c r="I79">
        <v>5.9354838709677509</v>
      </c>
      <c r="K79">
        <v>62.5</v>
      </c>
      <c r="L79">
        <v>41.4</v>
      </c>
    </row>
    <row r="80" spans="1:12" x14ac:dyDescent="0.3">
      <c r="A80" t="s">
        <v>163</v>
      </c>
      <c r="B80" t="s">
        <v>88</v>
      </c>
      <c r="C80">
        <f>IF(tlmdata[[#This Row],[Management_Regime]]=tlmdata[[#Headers],[Routine mow]],1,0)</f>
        <v>0</v>
      </c>
      <c r="D80">
        <f>IF(tlmdata[[#This Row],[Management_Regime]]=tlmdata[[#Headers],[Biodiverse planting]],1,0)</f>
        <v>1</v>
      </c>
      <c r="E80">
        <v>42.4</v>
      </c>
      <c r="G80">
        <v>54</v>
      </c>
      <c r="H80">
        <v>40.364516129032246</v>
      </c>
      <c r="I80">
        <v>0.43548387096775087</v>
      </c>
      <c r="K80">
        <v>63.69047619047619</v>
      </c>
      <c r="L80">
        <v>41.4</v>
      </c>
    </row>
    <row r="81" spans="1:12" x14ac:dyDescent="0.3">
      <c r="A81" t="s">
        <v>164</v>
      </c>
      <c r="B81" t="s">
        <v>83</v>
      </c>
      <c r="C81">
        <f>IF(tlmdata[[#This Row],[Management_Regime]]=tlmdata[[#Headers],[Routine mow]],1,0)</f>
        <v>1</v>
      </c>
      <c r="D81">
        <f>IF(tlmdata[[#This Row],[Management_Regime]]=tlmdata[[#Headers],[Biodiverse planting]],1,0)</f>
        <v>0</v>
      </c>
      <c r="E81">
        <v>34</v>
      </c>
      <c r="G81">
        <v>55</v>
      </c>
      <c r="H81">
        <v>34.954831565783046</v>
      </c>
      <c r="I81">
        <v>0.84516843421695143</v>
      </c>
      <c r="K81">
        <v>64.880952380952394</v>
      </c>
      <c r="L81">
        <v>41.4</v>
      </c>
    </row>
    <row r="82" spans="1:12" x14ac:dyDescent="0.3">
      <c r="A82" t="s">
        <v>165</v>
      </c>
      <c r="B82" t="s">
        <v>85</v>
      </c>
      <c r="C82">
        <f>IF(tlmdata[[#This Row],[Management_Regime]]=tlmdata[[#Headers],[Routine mow]],1,0)</f>
        <v>0</v>
      </c>
      <c r="D82">
        <f>IF(tlmdata[[#This Row],[Management_Regime]]=tlmdata[[#Headers],[Biodiverse planting]],1,0)</f>
        <v>0</v>
      </c>
      <c r="E82">
        <v>40.200000000000003</v>
      </c>
      <c r="G82">
        <v>56</v>
      </c>
      <c r="H82">
        <v>42.513043478260862</v>
      </c>
      <c r="I82">
        <v>4.9869565217391383</v>
      </c>
      <c r="K82">
        <v>66.071428571428584</v>
      </c>
      <c r="L82">
        <v>41.7</v>
      </c>
    </row>
    <row r="83" spans="1:12" x14ac:dyDescent="0.3">
      <c r="A83" t="s">
        <v>166</v>
      </c>
      <c r="B83" t="s">
        <v>83</v>
      </c>
      <c r="C83">
        <f>IF(tlmdata[[#This Row],[Management_Regime]]=tlmdata[[#Headers],[Routine mow]],1,0)</f>
        <v>1</v>
      </c>
      <c r="D83">
        <f>IF(tlmdata[[#This Row],[Management_Regime]]=tlmdata[[#Headers],[Biodiverse planting]],1,0)</f>
        <v>0</v>
      </c>
      <c r="E83">
        <v>36.6</v>
      </c>
      <c r="G83">
        <v>57</v>
      </c>
      <c r="H83">
        <v>42.513043478260862</v>
      </c>
      <c r="I83">
        <v>-13.213043478260861</v>
      </c>
      <c r="K83">
        <v>67.261904761904773</v>
      </c>
      <c r="L83">
        <v>41.7</v>
      </c>
    </row>
    <row r="84" spans="1:12" x14ac:dyDescent="0.3">
      <c r="A84" t="s">
        <v>167</v>
      </c>
      <c r="B84" t="s">
        <v>85</v>
      </c>
      <c r="C84">
        <f>IF(tlmdata[[#This Row],[Management_Regime]]=tlmdata[[#Headers],[Routine mow]],1,0)</f>
        <v>0</v>
      </c>
      <c r="D84">
        <f>IF(tlmdata[[#This Row],[Management_Regime]]=tlmdata[[#Headers],[Biodiverse planting]],1,0)</f>
        <v>0</v>
      </c>
      <c r="E84">
        <v>44.2</v>
      </c>
      <c r="G84">
        <v>58</v>
      </c>
      <c r="H84">
        <v>34.954831565783046</v>
      </c>
      <c r="I84">
        <v>-16.154831565783045</v>
      </c>
      <c r="K84">
        <v>68.452380952380963</v>
      </c>
      <c r="L84">
        <v>42</v>
      </c>
    </row>
    <row r="85" spans="1:12" x14ac:dyDescent="0.3">
      <c r="A85" t="s">
        <v>168</v>
      </c>
      <c r="B85" t="s">
        <v>85</v>
      </c>
      <c r="C85">
        <f>IF(tlmdata[[#This Row],[Management_Regime]]=tlmdata[[#Headers],[Routine mow]],1,0)</f>
        <v>0</v>
      </c>
      <c r="D85">
        <f>IF(tlmdata[[#This Row],[Management_Regime]]=tlmdata[[#Headers],[Biodiverse planting]],1,0)</f>
        <v>0</v>
      </c>
      <c r="E85">
        <v>41.2</v>
      </c>
      <c r="G85">
        <v>59</v>
      </c>
      <c r="H85">
        <v>42.513043478260862</v>
      </c>
      <c r="I85">
        <v>7.4869565217391383</v>
      </c>
      <c r="K85">
        <v>69.642857142857153</v>
      </c>
      <c r="L85">
        <v>42.3</v>
      </c>
    </row>
    <row r="86" spans="1:12" x14ac:dyDescent="0.3">
      <c r="G86">
        <v>60</v>
      </c>
      <c r="H86">
        <v>40.364516129032246</v>
      </c>
      <c r="I86">
        <v>-9.2645161290322449</v>
      </c>
      <c r="K86">
        <v>70.833333333333343</v>
      </c>
      <c r="L86">
        <v>42.4</v>
      </c>
    </row>
    <row r="87" spans="1:12" x14ac:dyDescent="0.3">
      <c r="G87">
        <v>61</v>
      </c>
      <c r="H87">
        <v>40.364516129032246</v>
      </c>
      <c r="I87">
        <v>-1.2645161290322449</v>
      </c>
      <c r="K87">
        <v>72.023809523809533</v>
      </c>
      <c r="L87">
        <v>42.4</v>
      </c>
    </row>
    <row r="88" spans="1:12" x14ac:dyDescent="0.3">
      <c r="G88">
        <v>62</v>
      </c>
      <c r="H88">
        <v>42.513043478260862</v>
      </c>
      <c r="I88">
        <v>-1.4130434782608603</v>
      </c>
      <c r="K88">
        <v>73.214285714285722</v>
      </c>
      <c r="L88">
        <v>43.5</v>
      </c>
    </row>
    <row r="89" spans="1:12" x14ac:dyDescent="0.3">
      <c r="G89">
        <v>63</v>
      </c>
      <c r="H89">
        <v>42.513043478260862</v>
      </c>
      <c r="I89">
        <v>-9.6130434782608631</v>
      </c>
      <c r="K89">
        <v>74.404761904761912</v>
      </c>
      <c r="L89">
        <v>44.1</v>
      </c>
    </row>
    <row r="90" spans="1:12" x14ac:dyDescent="0.3">
      <c r="G90">
        <v>64</v>
      </c>
      <c r="H90">
        <v>34.954831565783046</v>
      </c>
      <c r="I90">
        <v>-0.75483156578304289</v>
      </c>
      <c r="K90">
        <v>75.595238095238102</v>
      </c>
      <c r="L90">
        <v>44.1</v>
      </c>
    </row>
    <row r="91" spans="1:12" x14ac:dyDescent="0.3">
      <c r="G91">
        <v>65</v>
      </c>
      <c r="H91">
        <v>34.954831565783046</v>
      </c>
      <c r="I91">
        <v>-7.4548315657830457</v>
      </c>
      <c r="K91">
        <v>76.785714285714292</v>
      </c>
      <c r="L91">
        <v>44.2</v>
      </c>
    </row>
    <row r="92" spans="1:12" x14ac:dyDescent="0.3">
      <c r="G92">
        <v>66</v>
      </c>
      <c r="H92">
        <v>40.364516129032246</v>
      </c>
      <c r="I92">
        <v>8.4354838709677509</v>
      </c>
      <c r="K92">
        <v>77.976190476190482</v>
      </c>
      <c r="L92">
        <v>44.3</v>
      </c>
    </row>
    <row r="93" spans="1:12" x14ac:dyDescent="0.3">
      <c r="G93">
        <v>67</v>
      </c>
      <c r="H93">
        <v>42.513043478260862</v>
      </c>
      <c r="I93">
        <v>5.8869565217391369</v>
      </c>
      <c r="K93">
        <v>79.166666666666671</v>
      </c>
      <c r="L93">
        <v>44.6</v>
      </c>
    </row>
    <row r="94" spans="1:12" x14ac:dyDescent="0.3">
      <c r="G94">
        <v>68</v>
      </c>
      <c r="H94">
        <v>42.513043478260862</v>
      </c>
      <c r="I94">
        <v>-5.8130434782608589</v>
      </c>
      <c r="K94">
        <v>80.357142857142861</v>
      </c>
      <c r="L94">
        <v>45.7</v>
      </c>
    </row>
    <row r="95" spans="1:12" x14ac:dyDescent="0.3">
      <c r="G95">
        <v>69</v>
      </c>
      <c r="H95">
        <v>34.954831565783046</v>
      </c>
      <c r="I95">
        <v>1.6451684342169557</v>
      </c>
      <c r="K95">
        <v>81.547619047619051</v>
      </c>
      <c r="L95">
        <v>46.2</v>
      </c>
    </row>
    <row r="96" spans="1:12" x14ac:dyDescent="0.3">
      <c r="G96">
        <v>70</v>
      </c>
      <c r="H96">
        <v>34.954831565783046</v>
      </c>
      <c r="I96">
        <v>6.7451684342169571</v>
      </c>
      <c r="K96">
        <v>82.738095238095241</v>
      </c>
      <c r="L96">
        <v>46.3</v>
      </c>
    </row>
    <row r="97" spans="7:12" x14ac:dyDescent="0.3">
      <c r="G97">
        <v>71</v>
      </c>
      <c r="H97">
        <v>42.513043478260862</v>
      </c>
      <c r="I97">
        <v>5.1869565217391411</v>
      </c>
      <c r="K97">
        <v>83.928571428571431</v>
      </c>
      <c r="L97">
        <v>46.5</v>
      </c>
    </row>
    <row r="98" spans="7:12" x14ac:dyDescent="0.3">
      <c r="G98">
        <v>72</v>
      </c>
      <c r="H98">
        <v>40.364516129032246</v>
      </c>
      <c r="I98">
        <v>-1.6645161290322434</v>
      </c>
      <c r="K98">
        <v>85.11904761904762</v>
      </c>
      <c r="L98">
        <v>47.3</v>
      </c>
    </row>
    <row r="99" spans="7:12" x14ac:dyDescent="0.3">
      <c r="G99">
        <v>73</v>
      </c>
      <c r="H99">
        <v>34.954831565783046</v>
      </c>
      <c r="I99">
        <v>-1.2548315657830429</v>
      </c>
      <c r="K99">
        <v>86.30952380952381</v>
      </c>
      <c r="L99">
        <v>47.5</v>
      </c>
    </row>
    <row r="100" spans="7:12" x14ac:dyDescent="0.3">
      <c r="G100">
        <v>74</v>
      </c>
      <c r="H100">
        <v>40.364516129032246</v>
      </c>
      <c r="I100">
        <v>-4.3645161290322463</v>
      </c>
      <c r="K100">
        <v>87.5</v>
      </c>
      <c r="L100">
        <v>47.7</v>
      </c>
    </row>
    <row r="101" spans="7:12" x14ac:dyDescent="0.3">
      <c r="G101">
        <v>75</v>
      </c>
      <c r="H101">
        <v>40.364516129032246</v>
      </c>
      <c r="I101">
        <v>-9.3645161290322463</v>
      </c>
      <c r="K101">
        <v>88.69047619047619</v>
      </c>
      <c r="L101">
        <v>47.9</v>
      </c>
    </row>
    <row r="102" spans="7:12" x14ac:dyDescent="0.3">
      <c r="G102">
        <v>76</v>
      </c>
      <c r="H102">
        <v>34.954831565783046</v>
      </c>
      <c r="I102">
        <v>0.64516843421695569</v>
      </c>
      <c r="K102">
        <v>89.880952380952394</v>
      </c>
      <c r="L102">
        <v>48.4</v>
      </c>
    </row>
    <row r="103" spans="7:12" x14ac:dyDescent="0.3">
      <c r="G103">
        <v>77</v>
      </c>
      <c r="H103">
        <v>34.954831565783046</v>
      </c>
      <c r="I103">
        <v>6.4451684342169528</v>
      </c>
      <c r="K103">
        <v>91.071428571428584</v>
      </c>
      <c r="L103">
        <v>48.8</v>
      </c>
    </row>
    <row r="104" spans="7:12" x14ac:dyDescent="0.3">
      <c r="G104">
        <v>78</v>
      </c>
      <c r="H104">
        <v>34.954831565783046</v>
      </c>
      <c r="I104">
        <v>3.2451684342169571</v>
      </c>
      <c r="K104">
        <v>92.261904761904773</v>
      </c>
      <c r="L104">
        <v>48.8</v>
      </c>
    </row>
    <row r="105" spans="7:12" x14ac:dyDescent="0.3">
      <c r="G105">
        <v>79</v>
      </c>
      <c r="H105">
        <v>42.513043478260862</v>
      </c>
      <c r="I105">
        <v>-0.11304347826086314</v>
      </c>
      <c r="K105">
        <v>93.452380952380963</v>
      </c>
      <c r="L105">
        <v>49.2</v>
      </c>
    </row>
    <row r="106" spans="7:12" x14ac:dyDescent="0.3">
      <c r="G106">
        <v>80</v>
      </c>
      <c r="H106">
        <v>34.954831565783046</v>
      </c>
      <c r="I106">
        <v>-0.95483156578304573</v>
      </c>
      <c r="K106">
        <v>94.642857142857153</v>
      </c>
      <c r="L106">
        <v>50</v>
      </c>
    </row>
    <row r="107" spans="7:12" x14ac:dyDescent="0.3">
      <c r="G107">
        <v>81</v>
      </c>
      <c r="H107">
        <v>40.364516129032246</v>
      </c>
      <c r="I107">
        <v>-0.16451612903224344</v>
      </c>
      <c r="K107">
        <v>95.833333333333343</v>
      </c>
      <c r="L107">
        <v>50.3</v>
      </c>
    </row>
    <row r="108" spans="7:12" x14ac:dyDescent="0.3">
      <c r="G108">
        <v>82</v>
      </c>
      <c r="H108">
        <v>34.954831565783046</v>
      </c>
      <c r="I108">
        <v>1.6451684342169557</v>
      </c>
      <c r="K108">
        <v>97.023809523809533</v>
      </c>
      <c r="L108">
        <v>51.5</v>
      </c>
    </row>
    <row r="109" spans="7:12" x14ac:dyDescent="0.3">
      <c r="G109">
        <v>83</v>
      </c>
      <c r="H109">
        <v>40.364516129032246</v>
      </c>
      <c r="I109">
        <v>3.8354838709677566</v>
      </c>
      <c r="K109">
        <v>98.214285714285722</v>
      </c>
      <c r="L109">
        <v>52.1</v>
      </c>
    </row>
    <row r="110" spans="7:12" ht="15" thickBot="1" x14ac:dyDescent="0.35">
      <c r="G110" s="2">
        <v>84</v>
      </c>
      <c r="H110" s="2">
        <v>40.364516129032246</v>
      </c>
      <c r="I110" s="2">
        <v>0.83548387096775656</v>
      </c>
      <c r="K110" s="2">
        <v>99.404761904761912</v>
      </c>
      <c r="L110" s="2">
        <v>59.444946973491497</v>
      </c>
    </row>
  </sheetData>
  <sortState xmlns:xlrd2="http://schemas.microsoft.com/office/spreadsheetml/2017/richdata2" ref="L27:L110">
    <sortCondition ref="L27"/>
  </sortState>
  <pageMargins left="0.7" right="0.7" top="0.75" bottom="0.75" header="0.3" footer="0.3"/>
  <pageSetup paperSize="9" orientation="portrait" horizontalDpi="300" verticalDpi="300"/>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tabSelected="1" workbookViewId="0">
      <selection activeCell="C13" sqref="A13:C13"/>
    </sheetView>
  </sheetViews>
  <sheetFormatPr defaultColWidth="11.5546875" defaultRowHeight="14.4" x14ac:dyDescent="0.3"/>
  <cols>
    <col min="1" max="1" width="3.44140625" bestFit="1" customWidth="1"/>
    <col min="2" max="2" width="81.5546875" bestFit="1" customWidth="1"/>
    <col min="3" max="3" width="7.44140625" bestFit="1" customWidth="1"/>
    <col min="4" max="4" width="117.88671875" bestFit="1" customWidth="1"/>
  </cols>
  <sheetData>
    <row r="1" spans="1:4" x14ac:dyDescent="0.3">
      <c r="A1" s="8" t="s">
        <v>169</v>
      </c>
      <c r="B1" s="8" t="s">
        <v>170</v>
      </c>
      <c r="C1" s="8" t="s">
        <v>171</v>
      </c>
      <c r="D1" s="8" t="s">
        <v>172</v>
      </c>
    </row>
    <row r="2" spans="1:4" x14ac:dyDescent="0.3">
      <c r="A2" s="8">
        <v>1</v>
      </c>
      <c r="B2" s="8" t="s">
        <v>210</v>
      </c>
      <c r="C2" s="8" t="s">
        <v>174</v>
      </c>
      <c r="D2" s="8" t="s">
        <v>220</v>
      </c>
    </row>
    <row r="3" spans="1:4" x14ac:dyDescent="0.3">
      <c r="A3" s="8">
        <v>2</v>
      </c>
      <c r="B3" s="8" t="s">
        <v>211</v>
      </c>
      <c r="C3" s="8" t="s">
        <v>174</v>
      </c>
      <c r="D3" s="8" t="s">
        <v>221</v>
      </c>
    </row>
    <row r="4" spans="1:4" x14ac:dyDescent="0.3">
      <c r="A4" s="8">
        <v>3</v>
      </c>
      <c r="B4" s="8" t="s">
        <v>212</v>
      </c>
      <c r="C4" s="8" t="s">
        <v>174</v>
      </c>
      <c r="D4" s="8" t="s">
        <v>222</v>
      </c>
    </row>
    <row r="5" spans="1:4" x14ac:dyDescent="0.3">
      <c r="A5" s="8">
        <v>4</v>
      </c>
      <c r="B5" s="8" t="s">
        <v>176</v>
      </c>
      <c r="C5" s="8" t="s">
        <v>174</v>
      </c>
      <c r="D5" s="8" t="s">
        <v>223</v>
      </c>
    </row>
    <row r="6" spans="1:4" x14ac:dyDescent="0.3">
      <c r="A6" s="8">
        <v>5</v>
      </c>
      <c r="B6" s="8" t="s">
        <v>213</v>
      </c>
      <c r="C6" s="8" t="s">
        <v>174</v>
      </c>
      <c r="D6" s="8" t="s">
        <v>224</v>
      </c>
    </row>
    <row r="7" spans="1:4" x14ac:dyDescent="0.3">
      <c r="A7" s="8">
        <v>6</v>
      </c>
      <c r="B7" s="8" t="s">
        <v>214</v>
      </c>
      <c r="C7" s="8" t="s">
        <v>174</v>
      </c>
      <c r="D7" s="8" t="s">
        <v>225</v>
      </c>
    </row>
    <row r="8" spans="1:4" x14ac:dyDescent="0.3">
      <c r="A8" s="8">
        <v>7</v>
      </c>
      <c r="B8" s="8" t="s">
        <v>215</v>
      </c>
      <c r="C8" s="8" t="s">
        <v>174</v>
      </c>
      <c r="D8" s="8" t="s">
        <v>226</v>
      </c>
    </row>
    <row r="9" spans="1:4" x14ac:dyDescent="0.3">
      <c r="A9" s="8">
        <v>8</v>
      </c>
      <c r="B9" s="8" t="s">
        <v>216</v>
      </c>
      <c r="C9" s="8" t="s">
        <v>174</v>
      </c>
      <c r="D9" s="8" t="s">
        <v>227</v>
      </c>
    </row>
    <row r="10" spans="1:4" x14ac:dyDescent="0.3">
      <c r="A10" s="8">
        <v>9</v>
      </c>
      <c r="B10" s="8" t="s">
        <v>217</v>
      </c>
      <c r="C10" s="8"/>
      <c r="D10" s="8">
        <v>2.1485273492286123</v>
      </c>
    </row>
    <row r="11" spans="1:4" x14ac:dyDescent="0.3">
      <c r="A11" s="8">
        <v>10</v>
      </c>
      <c r="B11" s="8" t="s">
        <v>218</v>
      </c>
      <c r="C11" s="8" t="s">
        <v>174</v>
      </c>
      <c r="D11" s="8">
        <v>0.17015497608178701</v>
      </c>
    </row>
    <row r="12" spans="1:4" x14ac:dyDescent="0.3">
      <c r="A12" s="8">
        <v>11</v>
      </c>
      <c r="B12" s="8" t="s">
        <v>219</v>
      </c>
      <c r="C12" s="8" t="s">
        <v>228</v>
      </c>
      <c r="D12" s="8" t="str">
        <f>IF(Data3!L13&lt;0.05,"Reject null","Cannot reject null")</f>
        <v>Reject null</v>
      </c>
    </row>
    <row r="13" spans="1:4" ht="57.6" x14ac:dyDescent="0.3">
      <c r="A13" s="8">
        <v>12</v>
      </c>
      <c r="B13" s="8" t="s">
        <v>268</v>
      </c>
      <c r="C13" s="8"/>
      <c r="D13" s="9" t="s">
        <v>269</v>
      </c>
    </row>
    <row r="14" spans="1:4" x14ac:dyDescent="0.3">
      <c r="D14" cm="1">
        <f t="array" aca="1" ref="D14" ca="1">A14:D14</f>
        <v>0</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QA_Data1</vt:lpstr>
      <vt:lpstr>Data2</vt:lpstr>
      <vt:lpstr>QA_Data2</vt:lpstr>
      <vt:lpstr>Data3</vt:lpstr>
      <vt:lpstr>QA_Data3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2025-12-30T16:00:19Z</dcterms:created>
  <dcterms:modified xsi:type="dcterms:W3CDTF">2026-02-05T04:26:07Z</dcterms:modified>
</cp:coreProperties>
</file>